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Algo_genetique\fichiers excel\"/>
    </mc:Choice>
  </mc:AlternateContent>
  <xr:revisionPtr revIDLastSave="0" documentId="13_ncr:1_{6263071D-7E55-4678-851E-BEBC166DF765}" xr6:coauthVersionLast="47" xr6:coauthVersionMax="47" xr10:uidLastSave="{00000000-0000-0000-0000-000000000000}"/>
  <bookViews>
    <workbookView xWindow="-110" yWindow="-110" windowWidth="19420" windowHeight="10420" xr2:uid="{D4E89BA2-F8B2-4FDE-8A90-9CBD21F6823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2" i="1"/>
  <c r="O2" i="1"/>
  <c r="Q4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2" i="1"/>
  <c r="R2" i="1"/>
  <c r="R3" i="1"/>
  <c r="R24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5" i="1"/>
  <c r="R26" i="1"/>
  <c r="R27" i="1"/>
  <c r="R28" i="1"/>
  <c r="R29" i="1"/>
  <c r="R30" i="1"/>
  <c r="R31" i="1"/>
  <c r="R32" i="1"/>
  <c r="R33" i="1"/>
  <c r="N6" i="1"/>
  <c r="N5" i="1"/>
  <c r="N4" i="1"/>
  <c r="N2" i="1"/>
  <c r="N3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M2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</calcChain>
</file>

<file path=xl/sharedStrings.xml><?xml version="1.0" encoding="utf-8"?>
<sst xmlns="http://schemas.openxmlformats.org/spreadsheetml/2006/main" count="62" uniqueCount="60">
  <si>
    <t>Instance</t>
  </si>
  <si>
    <t>file name</t>
  </si>
  <si>
    <t>BestFitness</t>
  </si>
  <si>
    <t>truck cost</t>
  </si>
  <si>
    <t>energy cost</t>
  </si>
  <si>
    <t>ExecutionTime(s)</t>
  </si>
  <si>
    <t>PopulationSize</t>
  </si>
  <si>
    <t>Generations</t>
  </si>
  <si>
    <t>F1(MO-VNSSA)</t>
  </si>
  <si>
    <t>F2 (MO-VNSSA</t>
  </si>
  <si>
    <t>F1(MO-VNSTS)</t>
  </si>
  <si>
    <t>F2 (MO-VNSTS)</t>
  </si>
  <si>
    <t>inst_4_1_4.txt</t>
  </si>
  <si>
    <t>inst_4_2_4.txt</t>
  </si>
  <si>
    <t>inst_4_3_4.txt</t>
  </si>
  <si>
    <t>inst_5_1_4.txt</t>
  </si>
  <si>
    <t>inst_5_2_4.txt</t>
  </si>
  <si>
    <t>inst_5_3_4.txt</t>
  </si>
  <si>
    <t>inst_6_1_5.txt</t>
  </si>
  <si>
    <t>inst_6_2_5.txt</t>
  </si>
  <si>
    <t>inst_6_3_5.txt</t>
  </si>
  <si>
    <t>inst_7_1_5.txt</t>
  </si>
  <si>
    <t>inst_7_2_5.txt</t>
  </si>
  <si>
    <t>inst_7_3_5.txt</t>
  </si>
  <si>
    <t>inst_8_1_5.txt</t>
  </si>
  <si>
    <t>inst_8_2_5.txt</t>
  </si>
  <si>
    <t>inst_8_3_5.txt</t>
  </si>
  <si>
    <t>inst_9_1_7.txt</t>
  </si>
  <si>
    <t>360.2</t>
  </si>
  <si>
    <t>inst_9_2_7.txt</t>
  </si>
  <si>
    <t>355.8</t>
  </si>
  <si>
    <t>inst_9_3_7.txt</t>
  </si>
  <si>
    <t>372.8</t>
  </si>
  <si>
    <t>374.8</t>
  </si>
  <si>
    <t>inst_10_1_7.txt</t>
  </si>
  <si>
    <t>inst_10_2_7.txt</t>
  </si>
  <si>
    <t>394.2</t>
  </si>
  <si>
    <t>inst_10_3_7.txt</t>
  </si>
  <si>
    <t>422.6</t>
  </si>
  <si>
    <t>425.6</t>
  </si>
  <si>
    <t>inst_11_1_7.txt</t>
  </si>
  <si>
    <t>inst_11_2_7.txt</t>
  </si>
  <si>
    <t>406.2</t>
  </si>
  <si>
    <t>inst_11_3_7.txt</t>
  </si>
  <si>
    <t>inst_12_1_7.txt</t>
  </si>
  <si>
    <t>inst_12_2_7.txt</t>
  </si>
  <si>
    <t>inst_12_3_7.txt</t>
  </si>
  <si>
    <t>inst_20_10_15.txt</t>
  </si>
  <si>
    <t>inst_20_7_15.txt</t>
  </si>
  <si>
    <t>inst_30_10_20.txt</t>
  </si>
  <si>
    <t>inst_30_15_20.txt</t>
  </si>
  <si>
    <t>1220.4</t>
  </si>
  <si>
    <t>inst_30_7_20.txt</t>
  </si>
  <si>
    <t>401.4</t>
  </si>
  <si>
    <t>GAP (ga -heuristic F)</t>
  </si>
  <si>
    <t>GAP (ga -heuristic F2)</t>
  </si>
  <si>
    <t>% Difference(F1_GA_MOVNSSA)</t>
  </si>
  <si>
    <t>% Difference(F1_GA_MOVNSTS)</t>
  </si>
  <si>
    <t>% Difference(F2_GA_MOVNSSA)</t>
  </si>
  <si>
    <t>% Difference(F2_GA_MOVNSTS)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</si>
</sst>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vertical="center" wrapText="1"/>
    </xf>
    <xf numFmtId="4" fontId="1" fillId="2" borderId="1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2E75-8582-4D15-B38D-AC300AA8CF9E}">
  <dimension ref="A1:Z100"/>
  <sheetViews>
    <sheetView tabSelected="1" topLeftCell="A3" workbookViewId="0">
      <selection activeCell="R2" sqref="R2"/>
    </sheetView>
  </sheetViews>
  <sheetFormatPr defaultColWidth="10.90625" defaultRowHeight="14.5" x14ac:dyDescent="0.35"/>
  <cols>
    <col min="15" max="15" width="22.08984375" customWidth="1"/>
    <col min="16" max="16" width="20.90625" customWidth="1"/>
    <col min="17" max="17" width="23.26953125" customWidth="1"/>
    <col min="18" max="18" width="21.1796875" customWidth="1"/>
  </cols>
  <sheetData>
    <row r="1" spans="1:26" ht="52.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54</v>
      </c>
      <c r="N1" s="1" t="s">
        <v>55</v>
      </c>
      <c r="O1" s="1" t="s">
        <v>56</v>
      </c>
      <c r="P1" s="1" t="s">
        <v>57</v>
      </c>
      <c r="Q1" s="1" t="s">
        <v>58</v>
      </c>
      <c r="R1" s="1" t="s">
        <v>59</v>
      </c>
      <c r="S1" s="1"/>
      <c r="T1" s="1"/>
      <c r="U1" s="1"/>
      <c r="V1" s="1"/>
      <c r="W1" s="1"/>
      <c r="X1" s="1"/>
      <c r="Y1" s="1"/>
      <c r="Z1" s="1"/>
    </row>
    <row r="2" spans="1:26" ht="26.5" thickBot="1" x14ac:dyDescent="0.4">
      <c r="A2" s="1">
        <v>4</v>
      </c>
      <c r="B2" s="1" t="s">
        <v>12</v>
      </c>
      <c r="C2" s="1">
        <v>243</v>
      </c>
      <c r="D2" s="1">
        <v>351</v>
      </c>
      <c r="E2" s="1">
        <v>136</v>
      </c>
      <c r="F2" s="1">
        <v>0</v>
      </c>
      <c r="G2" s="1">
        <v>10</v>
      </c>
      <c r="H2" s="1">
        <v>20</v>
      </c>
      <c r="I2" s="1">
        <v>351</v>
      </c>
      <c r="J2" s="1">
        <v>136</v>
      </c>
      <c r="K2" s="1">
        <v>351</v>
      </c>
      <c r="L2" s="1">
        <v>136</v>
      </c>
      <c r="M2" s="1" t="b">
        <f>OR(D2&lt;I2, D2&lt;K2)</f>
        <v>0</v>
      </c>
      <c r="N2" s="1" t="b">
        <f>OR(E2&lt;J2, E2&lt;L2)</f>
        <v>0</v>
      </c>
      <c r="O2" s="1">
        <f>(D2 - I2) / I2</f>
        <v>0</v>
      </c>
      <c r="P2" s="1">
        <f>(D2 - K2) / K2</f>
        <v>0</v>
      </c>
      <c r="Q2" s="1">
        <f>(E2 - J2) / J2</f>
        <v>0</v>
      </c>
      <c r="R2" s="1">
        <f>(E2 - L2) / L2</f>
        <v>0</v>
      </c>
      <c r="S2" s="1"/>
      <c r="T2" s="1"/>
      <c r="U2" s="1"/>
      <c r="V2" s="1"/>
      <c r="W2" s="1"/>
      <c r="X2" s="1"/>
      <c r="Y2" s="1"/>
      <c r="Z2" s="1"/>
    </row>
    <row r="3" spans="1:26" ht="26.5" thickBot="1" x14ac:dyDescent="0.4">
      <c r="A3" s="1">
        <v>4</v>
      </c>
      <c r="B3" s="1" t="s">
        <v>13</v>
      </c>
      <c r="C3" s="1">
        <v>616</v>
      </c>
      <c r="D3" s="1">
        <v>1096</v>
      </c>
      <c r="E3" s="1">
        <v>136</v>
      </c>
      <c r="F3" s="1">
        <v>0</v>
      </c>
      <c r="G3" s="1">
        <v>10</v>
      </c>
      <c r="H3" s="1">
        <v>20</v>
      </c>
      <c r="I3" s="1">
        <v>1096</v>
      </c>
      <c r="J3" s="1">
        <v>136</v>
      </c>
      <c r="K3" s="1">
        <v>1096</v>
      </c>
      <c r="L3" s="1">
        <v>136</v>
      </c>
      <c r="M3" s="1" t="b">
        <f t="shared" ref="M3:M33" si="0">OR(D3&lt;I3, D3&lt;K3)</f>
        <v>0</v>
      </c>
      <c r="N3" s="1" t="b">
        <f t="shared" ref="N3:N33" si="1">OR(E3&lt;J3, E3&lt;L3)</f>
        <v>0</v>
      </c>
      <c r="O3" s="1">
        <f t="shared" ref="O3:O33" si="2">(D3 - I3) / I3</f>
        <v>0</v>
      </c>
      <c r="P3" s="1">
        <f t="shared" ref="P3:P33" si="3">(D3 - K3) / K3</f>
        <v>0</v>
      </c>
      <c r="Q3" s="1">
        <f t="shared" ref="Q3:Q33" si="4">(E3 - J3) / J3</f>
        <v>0</v>
      </c>
      <c r="R3" s="1">
        <f t="shared" ref="R2:R33" si="5">(E3 - L3) / L3</f>
        <v>0</v>
      </c>
      <c r="S3" s="1"/>
      <c r="T3" s="1"/>
      <c r="U3" s="1"/>
      <c r="V3" s="1"/>
      <c r="W3" s="1"/>
      <c r="X3" s="1"/>
      <c r="Y3" s="1"/>
      <c r="Z3" s="1"/>
    </row>
    <row r="4" spans="1:26" ht="26.5" thickBot="1" x14ac:dyDescent="0.4">
      <c r="A4" s="1">
        <v>4</v>
      </c>
      <c r="B4" s="1" t="s">
        <v>14</v>
      </c>
      <c r="C4" s="1">
        <v>825</v>
      </c>
      <c r="D4" s="1">
        <v>1542</v>
      </c>
      <c r="E4" s="1">
        <v>108</v>
      </c>
      <c r="F4" s="1">
        <v>0</v>
      </c>
      <c r="G4" s="1">
        <v>10</v>
      </c>
      <c r="H4" s="1">
        <v>20</v>
      </c>
      <c r="I4" s="1">
        <v>1542</v>
      </c>
      <c r="J4" s="1">
        <v>111</v>
      </c>
      <c r="K4" s="1">
        <v>1542</v>
      </c>
      <c r="L4" s="1">
        <v>111</v>
      </c>
      <c r="M4" s="1" t="b">
        <f t="shared" si="0"/>
        <v>0</v>
      </c>
      <c r="N4" s="1" t="b">
        <f>OR(E4&lt;J4, E4&lt;L4)</f>
        <v>1</v>
      </c>
      <c r="O4" s="1">
        <f t="shared" si="2"/>
        <v>0</v>
      </c>
      <c r="P4" s="1">
        <f t="shared" si="3"/>
        <v>0</v>
      </c>
      <c r="Q4" s="1">
        <f>(E4 - J4) / J4</f>
        <v>-2.7027027027027029E-2</v>
      </c>
      <c r="R4" s="1">
        <f t="shared" si="5"/>
        <v>-2.7027027027027029E-2</v>
      </c>
      <c r="S4" s="1"/>
      <c r="T4" s="1"/>
      <c r="U4" s="1"/>
      <c r="V4" s="1"/>
      <c r="W4" s="1"/>
      <c r="X4" s="1"/>
      <c r="Y4" s="1"/>
      <c r="Z4" s="1"/>
    </row>
    <row r="5" spans="1:26" ht="26.5" thickBot="1" x14ac:dyDescent="0.4">
      <c r="A5" s="1">
        <v>5</v>
      </c>
      <c r="B5" s="1" t="s">
        <v>15</v>
      </c>
      <c r="C5" s="1">
        <v>474</v>
      </c>
      <c r="D5" s="1">
        <v>750</v>
      </c>
      <c r="E5" s="1">
        <v>199</v>
      </c>
      <c r="F5" s="1">
        <v>0</v>
      </c>
      <c r="G5" s="1">
        <v>10</v>
      </c>
      <c r="H5" s="1">
        <v>20</v>
      </c>
      <c r="I5" s="1">
        <v>1835</v>
      </c>
      <c r="J5" s="1">
        <v>194</v>
      </c>
      <c r="K5" s="1">
        <v>1835</v>
      </c>
      <c r="L5" s="1">
        <v>194</v>
      </c>
      <c r="M5" s="1" t="b">
        <f t="shared" si="0"/>
        <v>1</v>
      </c>
      <c r="N5" s="1" t="b">
        <f>OR(E5&lt;J5, E5&lt;L5)</f>
        <v>0</v>
      </c>
      <c r="O5" s="1">
        <f t="shared" si="2"/>
        <v>-0.59128065395095364</v>
      </c>
      <c r="P5" s="1">
        <f t="shared" si="3"/>
        <v>-0.59128065395095364</v>
      </c>
      <c r="Q5" s="1">
        <f t="shared" si="4"/>
        <v>2.5773195876288658E-2</v>
      </c>
      <c r="R5" s="1">
        <f t="shared" si="5"/>
        <v>2.5773195876288658E-2</v>
      </c>
      <c r="S5" s="1"/>
      <c r="T5" s="1"/>
      <c r="U5" s="1"/>
      <c r="V5" s="1"/>
      <c r="W5" s="1"/>
      <c r="X5" s="1"/>
      <c r="Y5" s="1"/>
      <c r="Z5" s="1"/>
    </row>
    <row r="6" spans="1:26" ht="26.5" thickBot="1" x14ac:dyDescent="0.4">
      <c r="A6" s="1">
        <v>5</v>
      </c>
      <c r="B6" s="1" t="s">
        <v>16</v>
      </c>
      <c r="C6" s="1">
        <v>1009</v>
      </c>
      <c r="D6" s="1">
        <v>1835</v>
      </c>
      <c r="E6" s="1">
        <v>183</v>
      </c>
      <c r="F6" s="1">
        <v>0</v>
      </c>
      <c r="G6" s="1">
        <v>10</v>
      </c>
      <c r="H6" s="1">
        <v>20</v>
      </c>
      <c r="I6" s="1">
        <v>750</v>
      </c>
      <c r="J6" s="1">
        <v>199</v>
      </c>
      <c r="K6" s="1">
        <v>750</v>
      </c>
      <c r="L6" s="1">
        <v>199</v>
      </c>
      <c r="M6" s="1" t="b">
        <f t="shared" si="0"/>
        <v>0</v>
      </c>
      <c r="N6" s="1" t="b">
        <f>OR(E6&lt;J6, E6&lt;L6)</f>
        <v>1</v>
      </c>
      <c r="O6" s="1">
        <f t="shared" si="2"/>
        <v>1.4466666666666668</v>
      </c>
      <c r="P6" s="1">
        <f t="shared" si="3"/>
        <v>1.4466666666666668</v>
      </c>
      <c r="Q6" s="1">
        <f t="shared" si="4"/>
        <v>-8.0402010050251257E-2</v>
      </c>
      <c r="R6" s="1">
        <f t="shared" si="5"/>
        <v>-8.0402010050251257E-2</v>
      </c>
      <c r="S6" s="1"/>
      <c r="T6" s="1"/>
      <c r="U6" s="1"/>
      <c r="V6" s="1"/>
      <c r="W6" s="1"/>
      <c r="X6" s="1"/>
      <c r="Y6" s="1"/>
      <c r="Z6" s="1"/>
    </row>
    <row r="7" spans="1:26" ht="26.5" thickBot="1" x14ac:dyDescent="0.4">
      <c r="A7" s="1">
        <v>5</v>
      </c>
      <c r="B7" s="1" t="s">
        <v>17</v>
      </c>
      <c r="C7" s="1">
        <v>1085</v>
      </c>
      <c r="D7" s="1">
        <v>1923</v>
      </c>
      <c r="E7" s="1">
        <v>247</v>
      </c>
      <c r="F7" s="1">
        <v>0</v>
      </c>
      <c r="G7" s="1">
        <v>10</v>
      </c>
      <c r="H7" s="1">
        <v>20</v>
      </c>
      <c r="I7" s="1">
        <v>1923</v>
      </c>
      <c r="J7" s="1">
        <v>214</v>
      </c>
      <c r="K7" s="1">
        <v>1923</v>
      </c>
      <c r="L7" s="1">
        <v>214</v>
      </c>
      <c r="M7" s="1" t="b">
        <f t="shared" si="0"/>
        <v>0</v>
      </c>
      <c r="N7" s="1" t="b">
        <f t="shared" si="1"/>
        <v>0</v>
      </c>
      <c r="O7" s="1">
        <f t="shared" si="2"/>
        <v>0</v>
      </c>
      <c r="P7" s="1">
        <f t="shared" si="3"/>
        <v>0</v>
      </c>
      <c r="Q7" s="1">
        <f t="shared" si="4"/>
        <v>0.1542056074766355</v>
      </c>
      <c r="R7" s="1">
        <f t="shared" si="5"/>
        <v>0.1542056074766355</v>
      </c>
      <c r="S7" s="1"/>
      <c r="T7" s="1"/>
      <c r="U7" s="1"/>
      <c r="V7" s="1"/>
      <c r="W7" s="1"/>
      <c r="X7" s="1"/>
      <c r="Y7" s="1"/>
      <c r="Z7" s="1"/>
    </row>
    <row r="8" spans="1:26" ht="26.5" thickBot="1" x14ac:dyDescent="0.4">
      <c r="A8" s="1">
        <v>6</v>
      </c>
      <c r="B8" s="1" t="s">
        <v>18</v>
      </c>
      <c r="C8" s="1">
        <v>673</v>
      </c>
      <c r="D8" s="1">
        <v>1166</v>
      </c>
      <c r="E8" s="1">
        <v>180</v>
      </c>
      <c r="F8" s="1">
        <v>0</v>
      </c>
      <c r="G8" s="1">
        <v>10</v>
      </c>
      <c r="H8" s="1">
        <v>20</v>
      </c>
      <c r="I8" s="1">
        <v>1166</v>
      </c>
      <c r="J8" s="1">
        <v>192</v>
      </c>
      <c r="K8" s="1">
        <v>1166</v>
      </c>
      <c r="L8" s="1">
        <v>192</v>
      </c>
      <c r="M8" s="1" t="b">
        <f t="shared" si="0"/>
        <v>0</v>
      </c>
      <c r="N8" s="1" t="b">
        <f t="shared" si="1"/>
        <v>1</v>
      </c>
      <c r="O8" s="1">
        <f t="shared" si="2"/>
        <v>0</v>
      </c>
      <c r="P8" s="1">
        <f t="shared" si="3"/>
        <v>0</v>
      </c>
      <c r="Q8" s="1">
        <f t="shared" si="4"/>
        <v>-6.25E-2</v>
      </c>
      <c r="R8" s="1">
        <f t="shared" si="5"/>
        <v>-6.25E-2</v>
      </c>
      <c r="S8" s="1"/>
      <c r="T8" s="1"/>
      <c r="U8" s="1"/>
      <c r="V8" s="1"/>
      <c r="W8" s="1"/>
      <c r="X8" s="1"/>
      <c r="Y8" s="1"/>
      <c r="Z8" s="1"/>
    </row>
    <row r="9" spans="1:26" ht="26.5" thickBot="1" x14ac:dyDescent="0.4">
      <c r="A9" s="1">
        <v>6</v>
      </c>
      <c r="B9" s="1" t="s">
        <v>19</v>
      </c>
      <c r="C9" s="1">
        <v>612</v>
      </c>
      <c r="D9" s="1">
        <v>1033</v>
      </c>
      <c r="E9" s="1">
        <v>192</v>
      </c>
      <c r="F9" s="1">
        <v>0</v>
      </c>
      <c r="G9" s="1">
        <v>10</v>
      </c>
      <c r="H9" s="1">
        <v>20</v>
      </c>
      <c r="I9" s="1">
        <v>1033</v>
      </c>
      <c r="J9" s="1">
        <v>183</v>
      </c>
      <c r="K9" s="1">
        <v>1033</v>
      </c>
      <c r="L9" s="1">
        <v>183</v>
      </c>
      <c r="M9" s="1" t="b">
        <f t="shared" si="0"/>
        <v>0</v>
      </c>
      <c r="N9" s="1" t="b">
        <f t="shared" si="1"/>
        <v>0</v>
      </c>
      <c r="O9" s="1">
        <f t="shared" si="2"/>
        <v>0</v>
      </c>
      <c r="P9" s="1">
        <f t="shared" si="3"/>
        <v>0</v>
      </c>
      <c r="Q9" s="1">
        <f t="shared" si="4"/>
        <v>4.9180327868852458E-2</v>
      </c>
      <c r="R9" s="1">
        <f t="shared" si="5"/>
        <v>4.9180327868852458E-2</v>
      </c>
      <c r="S9" s="1"/>
      <c r="T9" s="1"/>
      <c r="U9" s="1"/>
      <c r="V9" s="1"/>
      <c r="W9" s="1"/>
      <c r="X9" s="1"/>
      <c r="Y9" s="1"/>
      <c r="Z9" s="1"/>
    </row>
    <row r="10" spans="1:26" ht="26.5" thickBot="1" x14ac:dyDescent="0.4">
      <c r="A10" s="1">
        <v>6</v>
      </c>
      <c r="B10" s="1" t="s">
        <v>20</v>
      </c>
      <c r="C10" s="1">
        <v>800</v>
      </c>
      <c r="D10" s="1">
        <v>1440</v>
      </c>
      <c r="E10" s="1">
        <v>160</v>
      </c>
      <c r="F10" s="1">
        <v>0</v>
      </c>
      <c r="G10" s="1">
        <v>10</v>
      </c>
      <c r="H10" s="1">
        <v>20</v>
      </c>
      <c r="I10" s="1">
        <v>1440</v>
      </c>
      <c r="J10" s="1">
        <v>160</v>
      </c>
      <c r="K10" s="1">
        <v>1440</v>
      </c>
      <c r="L10" s="1">
        <v>160</v>
      </c>
      <c r="M10" s="1" t="b">
        <f t="shared" si="0"/>
        <v>0</v>
      </c>
      <c r="N10" s="1" t="b">
        <f t="shared" si="1"/>
        <v>0</v>
      </c>
      <c r="O10" s="1">
        <f t="shared" si="2"/>
        <v>0</v>
      </c>
      <c r="P10" s="1">
        <f t="shared" si="3"/>
        <v>0</v>
      </c>
      <c r="Q10" s="1">
        <f t="shared" si="4"/>
        <v>0</v>
      </c>
      <c r="R10" s="1">
        <f t="shared" si="5"/>
        <v>0</v>
      </c>
      <c r="S10" s="1"/>
      <c r="T10" s="1"/>
      <c r="U10" s="1"/>
      <c r="V10" s="1"/>
      <c r="W10" s="1"/>
      <c r="X10" s="1"/>
      <c r="Y10" s="1"/>
      <c r="Z10" s="1"/>
    </row>
    <row r="11" spans="1:26" ht="26.5" thickBot="1" x14ac:dyDescent="0.4">
      <c r="A11" s="1">
        <v>7</v>
      </c>
      <c r="B11" s="1" t="s">
        <v>21</v>
      </c>
      <c r="C11" s="1">
        <v>741</v>
      </c>
      <c r="D11" s="1">
        <v>1263</v>
      </c>
      <c r="E11" s="1">
        <v>220</v>
      </c>
      <c r="F11" s="1">
        <v>0</v>
      </c>
      <c r="G11" s="1">
        <v>10</v>
      </c>
      <c r="H11" s="1">
        <v>20</v>
      </c>
      <c r="I11" s="1">
        <v>1263</v>
      </c>
      <c r="J11" s="1">
        <v>282</v>
      </c>
      <c r="K11" s="1">
        <v>1263</v>
      </c>
      <c r="L11" s="1">
        <v>287</v>
      </c>
      <c r="M11" s="1" t="b">
        <f t="shared" si="0"/>
        <v>0</v>
      </c>
      <c r="N11" s="1" t="b">
        <f t="shared" si="1"/>
        <v>1</v>
      </c>
      <c r="O11" s="1">
        <f t="shared" si="2"/>
        <v>0</v>
      </c>
      <c r="P11" s="1">
        <f t="shared" si="3"/>
        <v>0</v>
      </c>
      <c r="Q11" s="1">
        <f t="shared" si="4"/>
        <v>-0.21985815602836881</v>
      </c>
      <c r="R11" s="1">
        <f t="shared" si="5"/>
        <v>-0.23344947735191637</v>
      </c>
      <c r="S11" s="1"/>
      <c r="T11" s="1"/>
      <c r="U11" s="1"/>
      <c r="V11" s="1"/>
      <c r="W11" s="1"/>
      <c r="X11" s="1"/>
      <c r="Y11" s="1"/>
      <c r="Z11" s="1"/>
    </row>
    <row r="12" spans="1:26" ht="26.5" thickBot="1" x14ac:dyDescent="0.4">
      <c r="A12" s="1">
        <v>7</v>
      </c>
      <c r="B12" s="1" t="s">
        <v>22</v>
      </c>
      <c r="C12" s="2">
        <v>1022</v>
      </c>
      <c r="D12" s="1">
        <v>1792</v>
      </c>
      <c r="E12" s="1">
        <v>253</v>
      </c>
      <c r="F12" s="1">
        <v>0</v>
      </c>
      <c r="G12" s="1">
        <v>10</v>
      </c>
      <c r="H12" s="1">
        <v>20</v>
      </c>
      <c r="I12" s="1">
        <v>1792</v>
      </c>
      <c r="J12" s="1">
        <v>306</v>
      </c>
      <c r="K12" s="1">
        <v>1792</v>
      </c>
      <c r="L12" s="1">
        <v>306</v>
      </c>
      <c r="M12" s="1" t="b">
        <f t="shared" si="0"/>
        <v>0</v>
      </c>
      <c r="N12" s="1" t="b">
        <f t="shared" si="1"/>
        <v>1</v>
      </c>
      <c r="O12" s="1">
        <f t="shared" si="2"/>
        <v>0</v>
      </c>
      <c r="P12" s="1">
        <f t="shared" si="3"/>
        <v>0</v>
      </c>
      <c r="Q12" s="1">
        <f t="shared" si="4"/>
        <v>-0.17320261437908496</v>
      </c>
      <c r="R12" s="1">
        <f t="shared" si="5"/>
        <v>-0.17320261437908496</v>
      </c>
      <c r="S12" s="1"/>
      <c r="T12" s="1"/>
      <c r="U12" s="1"/>
      <c r="V12" s="1"/>
      <c r="W12" s="1"/>
      <c r="X12" s="1"/>
      <c r="Y12" s="1"/>
      <c r="Z12" s="1"/>
    </row>
    <row r="13" spans="1:26" ht="26.5" thickBot="1" x14ac:dyDescent="0.4">
      <c r="A13" s="1">
        <v>7</v>
      </c>
      <c r="B13" s="1" t="s">
        <v>23</v>
      </c>
      <c r="C13" s="2">
        <v>1046</v>
      </c>
      <c r="D13" s="1">
        <v>1797</v>
      </c>
      <c r="E13" s="1">
        <v>296</v>
      </c>
      <c r="F13" s="1">
        <v>0</v>
      </c>
      <c r="G13" s="1">
        <v>10</v>
      </c>
      <c r="H13" s="1">
        <v>20</v>
      </c>
      <c r="I13" s="1">
        <v>1797</v>
      </c>
      <c r="J13" s="1">
        <v>293</v>
      </c>
      <c r="K13" s="1">
        <v>1797</v>
      </c>
      <c r="L13" s="1">
        <v>293</v>
      </c>
      <c r="M13" s="1" t="b">
        <f t="shared" si="0"/>
        <v>0</v>
      </c>
      <c r="N13" s="1" t="b">
        <f t="shared" si="1"/>
        <v>0</v>
      </c>
      <c r="O13" s="1">
        <f t="shared" si="2"/>
        <v>0</v>
      </c>
      <c r="P13" s="1">
        <f t="shared" si="3"/>
        <v>0</v>
      </c>
      <c r="Q13" s="1">
        <f t="shared" si="4"/>
        <v>1.0238907849829351E-2</v>
      </c>
      <c r="R13" s="1">
        <f t="shared" si="5"/>
        <v>1.0238907849829351E-2</v>
      </c>
      <c r="S13" s="1"/>
      <c r="T13" s="1"/>
      <c r="U13" s="1"/>
      <c r="V13" s="1"/>
      <c r="W13" s="1"/>
      <c r="X13" s="1"/>
      <c r="Y13" s="1"/>
      <c r="Z13" s="1"/>
    </row>
    <row r="14" spans="1:26" ht="26.5" thickBot="1" x14ac:dyDescent="0.4">
      <c r="A14" s="1">
        <v>8</v>
      </c>
      <c r="B14" s="1" t="s">
        <v>24</v>
      </c>
      <c r="C14" s="1">
        <v>1043</v>
      </c>
      <c r="D14" s="1">
        <v>1821</v>
      </c>
      <c r="E14" s="1">
        <v>265</v>
      </c>
      <c r="F14" s="1">
        <v>0</v>
      </c>
      <c r="G14" s="1">
        <v>10</v>
      </c>
      <c r="H14" s="1">
        <v>20</v>
      </c>
      <c r="I14" s="1">
        <v>1821</v>
      </c>
      <c r="J14" s="1">
        <v>273</v>
      </c>
      <c r="K14" s="1">
        <v>1821</v>
      </c>
      <c r="L14" s="1">
        <v>273</v>
      </c>
      <c r="M14" s="1" t="b">
        <f t="shared" si="0"/>
        <v>0</v>
      </c>
      <c r="N14" s="1" t="b">
        <f t="shared" si="1"/>
        <v>1</v>
      </c>
      <c r="O14" s="1">
        <f t="shared" si="2"/>
        <v>0</v>
      </c>
      <c r="P14" s="1">
        <f t="shared" si="3"/>
        <v>0</v>
      </c>
      <c r="Q14" s="1">
        <f t="shared" si="4"/>
        <v>-2.9304029304029304E-2</v>
      </c>
      <c r="R14" s="1">
        <f t="shared" si="5"/>
        <v>-2.9304029304029304E-2</v>
      </c>
      <c r="S14" s="1"/>
      <c r="T14" s="1"/>
      <c r="U14" s="1"/>
      <c r="V14" s="1"/>
      <c r="W14" s="1"/>
      <c r="X14" s="1"/>
      <c r="Y14" s="1"/>
      <c r="Z14" s="1"/>
    </row>
    <row r="15" spans="1:26" ht="26.5" thickBot="1" x14ac:dyDescent="0.4">
      <c r="A15" s="1">
        <v>8</v>
      </c>
      <c r="B15" s="1" t="s">
        <v>25</v>
      </c>
      <c r="C15" s="1">
        <v>1385</v>
      </c>
      <c r="D15" s="1">
        <v>2510</v>
      </c>
      <c r="E15" s="1">
        <v>260</v>
      </c>
      <c r="F15" s="1">
        <v>0</v>
      </c>
      <c r="G15" s="1">
        <v>10</v>
      </c>
      <c r="H15" s="1">
        <v>20</v>
      </c>
      <c r="I15" s="1">
        <v>2510</v>
      </c>
      <c r="J15" s="1">
        <v>283</v>
      </c>
      <c r="K15" s="1">
        <v>2510</v>
      </c>
      <c r="L15" s="1">
        <v>283</v>
      </c>
      <c r="M15" s="1" t="b">
        <f t="shared" si="0"/>
        <v>0</v>
      </c>
      <c r="N15" s="1" t="b">
        <f t="shared" si="1"/>
        <v>1</v>
      </c>
      <c r="O15" s="1">
        <f t="shared" si="2"/>
        <v>0</v>
      </c>
      <c r="P15" s="1">
        <f t="shared" si="3"/>
        <v>0</v>
      </c>
      <c r="Q15" s="1">
        <f t="shared" si="4"/>
        <v>-8.1272084805653705E-2</v>
      </c>
      <c r="R15" s="1">
        <f t="shared" si="5"/>
        <v>-8.1272084805653705E-2</v>
      </c>
      <c r="S15" s="1"/>
      <c r="T15" s="1"/>
      <c r="U15" s="1"/>
      <c r="V15" s="1"/>
      <c r="W15" s="1"/>
      <c r="X15" s="1"/>
      <c r="Y15" s="1"/>
      <c r="Z15" s="1"/>
    </row>
    <row r="16" spans="1:26" ht="26.5" thickBot="1" x14ac:dyDescent="0.4">
      <c r="A16" s="1">
        <v>8</v>
      </c>
      <c r="B16" s="1" t="s">
        <v>26</v>
      </c>
      <c r="C16" s="2">
        <v>1595</v>
      </c>
      <c r="D16" s="1">
        <v>2901</v>
      </c>
      <c r="E16" s="1">
        <v>290</v>
      </c>
      <c r="F16" s="1">
        <v>0</v>
      </c>
      <c r="G16" s="1">
        <v>10</v>
      </c>
      <c r="H16" s="1">
        <v>20</v>
      </c>
      <c r="I16" s="1">
        <v>2520</v>
      </c>
      <c r="J16" s="1">
        <v>281</v>
      </c>
      <c r="K16" s="1">
        <v>2520</v>
      </c>
      <c r="L16" s="1">
        <v>281</v>
      </c>
      <c r="M16" s="1" t="b">
        <f t="shared" si="0"/>
        <v>0</v>
      </c>
      <c r="N16" s="1" t="b">
        <f t="shared" si="1"/>
        <v>0</v>
      </c>
      <c r="O16" s="1">
        <f t="shared" si="2"/>
        <v>0.15119047619047618</v>
      </c>
      <c r="P16" s="1">
        <f t="shared" si="3"/>
        <v>0.15119047619047618</v>
      </c>
      <c r="Q16" s="1">
        <f t="shared" si="4"/>
        <v>3.2028469750889681E-2</v>
      </c>
      <c r="R16" s="1">
        <f t="shared" si="5"/>
        <v>3.2028469750889681E-2</v>
      </c>
      <c r="S16" s="1"/>
      <c r="T16" s="1"/>
      <c r="U16" s="1"/>
      <c r="V16" s="1"/>
      <c r="W16" s="1"/>
      <c r="X16" s="1"/>
      <c r="Y16" s="1"/>
      <c r="Z16" s="1"/>
    </row>
    <row r="17" spans="1:26" ht="26.5" thickBot="1" x14ac:dyDescent="0.4">
      <c r="A17" s="1">
        <v>9</v>
      </c>
      <c r="B17" s="1" t="s">
        <v>27</v>
      </c>
      <c r="C17" s="1">
        <v>600</v>
      </c>
      <c r="D17" s="1">
        <v>891</v>
      </c>
      <c r="E17" s="1">
        <v>310</v>
      </c>
      <c r="F17" s="1">
        <v>0</v>
      </c>
      <c r="G17" s="1">
        <v>10</v>
      </c>
      <c r="H17" s="1">
        <v>20</v>
      </c>
      <c r="I17" s="1">
        <v>891</v>
      </c>
      <c r="J17" s="1">
        <v>357</v>
      </c>
      <c r="K17" s="1">
        <v>891</v>
      </c>
      <c r="L17" s="1">
        <v>360.2</v>
      </c>
      <c r="M17" s="1" t="b">
        <f t="shared" si="0"/>
        <v>0</v>
      </c>
      <c r="N17" s="1" t="b">
        <f t="shared" si="1"/>
        <v>1</v>
      </c>
      <c r="O17" s="1">
        <f t="shared" si="2"/>
        <v>0</v>
      </c>
      <c r="P17" s="1">
        <f t="shared" si="3"/>
        <v>0</v>
      </c>
      <c r="Q17" s="1">
        <f t="shared" si="4"/>
        <v>-0.13165266106442577</v>
      </c>
      <c r="R17" s="1">
        <f t="shared" si="5"/>
        <v>-0.13936701832315376</v>
      </c>
      <c r="S17" s="1"/>
      <c r="T17" s="1"/>
      <c r="U17" s="1"/>
      <c r="V17" s="1"/>
      <c r="W17" s="1"/>
      <c r="X17" s="1"/>
      <c r="Y17" s="1"/>
      <c r="Z17" s="1"/>
    </row>
    <row r="18" spans="1:26" ht="26.5" thickBot="1" x14ac:dyDescent="0.4">
      <c r="A18" s="1">
        <v>9</v>
      </c>
      <c r="B18" s="1" t="s">
        <v>29</v>
      </c>
      <c r="C18" s="1">
        <v>999</v>
      </c>
      <c r="D18" s="1">
        <v>1650</v>
      </c>
      <c r="E18" s="1">
        <v>348</v>
      </c>
      <c r="F18" s="1">
        <v>0</v>
      </c>
      <c r="G18" s="1">
        <v>10</v>
      </c>
      <c r="H18" s="1">
        <v>20</v>
      </c>
      <c r="I18" s="1">
        <v>1650</v>
      </c>
      <c r="J18" s="1">
        <v>355.8</v>
      </c>
      <c r="K18" s="1">
        <v>1650</v>
      </c>
      <c r="L18" s="1">
        <v>366</v>
      </c>
      <c r="M18" s="1" t="b">
        <f t="shared" si="0"/>
        <v>0</v>
      </c>
      <c r="N18" s="1" t="b">
        <f t="shared" si="1"/>
        <v>1</v>
      </c>
      <c r="O18" s="1">
        <f t="shared" si="2"/>
        <v>0</v>
      </c>
      <c r="P18" s="1">
        <f t="shared" si="3"/>
        <v>0</v>
      </c>
      <c r="Q18" s="1">
        <f t="shared" si="4"/>
        <v>-2.1922428330522797E-2</v>
      </c>
      <c r="R18" s="1">
        <f t="shared" si="5"/>
        <v>-4.9180327868852458E-2</v>
      </c>
      <c r="S18" s="1"/>
      <c r="T18" s="1"/>
      <c r="U18" s="1"/>
      <c r="V18" s="1"/>
      <c r="W18" s="1"/>
      <c r="X18" s="1"/>
      <c r="Y18" s="1"/>
      <c r="Z18" s="1"/>
    </row>
    <row r="19" spans="1:26" ht="26.5" thickBot="1" x14ac:dyDescent="0.4">
      <c r="A19" s="1">
        <v>9</v>
      </c>
      <c r="B19" s="1" t="s">
        <v>31</v>
      </c>
      <c r="C19" s="2">
        <v>1340</v>
      </c>
      <c r="D19" s="1">
        <v>2331</v>
      </c>
      <c r="E19" s="1">
        <v>350</v>
      </c>
      <c r="F19" s="1">
        <v>0</v>
      </c>
      <c r="G19" s="1">
        <v>10</v>
      </c>
      <c r="H19" s="1">
        <v>20</v>
      </c>
      <c r="I19" s="1">
        <v>2331</v>
      </c>
      <c r="J19" s="1">
        <v>372.8</v>
      </c>
      <c r="K19" s="1">
        <v>2331</v>
      </c>
      <c r="L19" s="1">
        <v>374.8</v>
      </c>
      <c r="M19" s="1" t="b">
        <f t="shared" si="0"/>
        <v>0</v>
      </c>
      <c r="N19" s="1" t="b">
        <f t="shared" si="1"/>
        <v>1</v>
      </c>
      <c r="O19" s="1">
        <f t="shared" si="2"/>
        <v>0</v>
      </c>
      <c r="P19" s="1">
        <f t="shared" si="3"/>
        <v>0</v>
      </c>
      <c r="Q19" s="1">
        <f t="shared" si="4"/>
        <v>-6.1158798283261831E-2</v>
      </c>
      <c r="R19" s="1">
        <f t="shared" si="5"/>
        <v>-6.6168623265741758E-2</v>
      </c>
      <c r="S19" s="1"/>
      <c r="T19" s="1"/>
      <c r="U19" s="1"/>
      <c r="V19" s="1"/>
      <c r="W19" s="1"/>
      <c r="X19" s="1"/>
      <c r="Y19" s="1"/>
      <c r="Z19" s="1"/>
    </row>
    <row r="20" spans="1:26" ht="26.5" thickBot="1" x14ac:dyDescent="0.4">
      <c r="A20" s="1">
        <v>10</v>
      </c>
      <c r="B20" s="1" t="s">
        <v>34</v>
      </c>
      <c r="C20" s="1">
        <v>966</v>
      </c>
      <c r="D20" s="1">
        <v>1588</v>
      </c>
      <c r="E20" s="1">
        <v>345</v>
      </c>
      <c r="F20" s="1">
        <v>0</v>
      </c>
      <c r="G20" s="1">
        <v>10</v>
      </c>
      <c r="H20" s="1">
        <v>20</v>
      </c>
      <c r="I20" s="1">
        <v>1588</v>
      </c>
      <c r="J20" s="1">
        <v>431</v>
      </c>
      <c r="K20" s="1">
        <v>1588</v>
      </c>
      <c r="L20" s="1">
        <v>436</v>
      </c>
      <c r="M20" s="1" t="b">
        <f t="shared" si="0"/>
        <v>0</v>
      </c>
      <c r="N20" s="1" t="b">
        <f t="shared" si="1"/>
        <v>1</v>
      </c>
      <c r="O20" s="1">
        <f t="shared" si="2"/>
        <v>0</v>
      </c>
      <c r="P20" s="1">
        <f t="shared" si="3"/>
        <v>0</v>
      </c>
      <c r="Q20" s="1">
        <f t="shared" si="4"/>
        <v>-0.19953596287703015</v>
      </c>
      <c r="R20" s="1">
        <f t="shared" si="5"/>
        <v>-0.20871559633027523</v>
      </c>
      <c r="S20" s="1"/>
      <c r="T20" s="1"/>
      <c r="U20" s="1"/>
      <c r="V20" s="1"/>
      <c r="W20" s="1"/>
      <c r="X20" s="1"/>
      <c r="Y20" s="1"/>
      <c r="Z20" s="1"/>
    </row>
    <row r="21" spans="1:26" ht="26.5" thickBot="1" x14ac:dyDescent="0.4">
      <c r="A21" s="1">
        <v>10</v>
      </c>
      <c r="B21" s="1" t="s">
        <v>35</v>
      </c>
      <c r="C21" s="2">
        <v>1237</v>
      </c>
      <c r="D21" s="1">
        <v>2098</v>
      </c>
      <c r="E21" s="1">
        <v>377</v>
      </c>
      <c r="F21" s="1">
        <v>0</v>
      </c>
      <c r="G21" s="1">
        <v>10</v>
      </c>
      <c r="H21" s="1">
        <v>20</v>
      </c>
      <c r="I21" s="1">
        <v>2098</v>
      </c>
      <c r="J21" s="1">
        <v>392</v>
      </c>
      <c r="K21" s="1">
        <v>2098</v>
      </c>
      <c r="L21" s="1">
        <v>394.2</v>
      </c>
      <c r="M21" s="1" t="b">
        <f t="shared" si="0"/>
        <v>0</v>
      </c>
      <c r="N21" s="1" t="b">
        <f t="shared" si="1"/>
        <v>1</v>
      </c>
      <c r="O21" s="1">
        <f t="shared" si="2"/>
        <v>0</v>
      </c>
      <c r="P21" s="1">
        <f t="shared" si="3"/>
        <v>0</v>
      </c>
      <c r="Q21" s="1">
        <f t="shared" si="4"/>
        <v>-3.826530612244898E-2</v>
      </c>
      <c r="R21" s="1">
        <f t="shared" si="5"/>
        <v>-4.3632673769660041E-2</v>
      </c>
      <c r="S21" s="1"/>
      <c r="T21" s="1"/>
      <c r="U21" s="1"/>
      <c r="V21" s="1"/>
      <c r="W21" s="1"/>
      <c r="X21" s="1"/>
      <c r="Y21" s="1"/>
      <c r="Z21" s="1"/>
    </row>
    <row r="22" spans="1:26" ht="26.5" thickBot="1" x14ac:dyDescent="0.4">
      <c r="A22" s="1">
        <v>10</v>
      </c>
      <c r="B22" s="1" t="s">
        <v>37</v>
      </c>
      <c r="C22" s="2">
        <v>1760</v>
      </c>
      <c r="D22" s="1">
        <v>3102</v>
      </c>
      <c r="E22" s="1">
        <v>419</v>
      </c>
      <c r="F22" s="1">
        <v>1</v>
      </c>
      <c r="G22" s="1">
        <v>10</v>
      </c>
      <c r="H22" s="1">
        <v>20</v>
      </c>
      <c r="I22" s="1">
        <v>3102</v>
      </c>
      <c r="J22" s="1">
        <v>422.6</v>
      </c>
      <c r="K22" s="1">
        <v>3102</v>
      </c>
      <c r="L22" s="1">
        <v>425.6</v>
      </c>
      <c r="M22" s="1" t="b">
        <f t="shared" si="0"/>
        <v>0</v>
      </c>
      <c r="N22" s="1" t="b">
        <f t="shared" si="1"/>
        <v>1</v>
      </c>
      <c r="O22" s="1">
        <f t="shared" si="2"/>
        <v>0</v>
      </c>
      <c r="P22" s="1">
        <f t="shared" si="3"/>
        <v>0</v>
      </c>
      <c r="Q22" s="1">
        <f t="shared" si="4"/>
        <v>-8.51869380028401E-3</v>
      </c>
      <c r="R22" s="1">
        <f t="shared" si="5"/>
        <v>-1.5507518796992534E-2</v>
      </c>
      <c r="S22" s="1"/>
      <c r="T22" s="1"/>
      <c r="U22" s="1"/>
      <c r="V22" s="1"/>
      <c r="W22" s="1"/>
      <c r="X22" s="1"/>
      <c r="Y22" s="1"/>
      <c r="Z22" s="1"/>
    </row>
    <row r="23" spans="1:26" ht="26.5" thickBot="1" x14ac:dyDescent="0.4">
      <c r="A23" s="1">
        <v>11</v>
      </c>
      <c r="B23" s="1" t="s">
        <v>40</v>
      </c>
      <c r="C23" s="1">
        <v>797</v>
      </c>
      <c r="D23" s="1">
        <v>1276</v>
      </c>
      <c r="E23" s="1">
        <v>319</v>
      </c>
      <c r="F23" s="1">
        <v>0</v>
      </c>
      <c r="G23" s="1">
        <v>10</v>
      </c>
      <c r="H23" s="1">
        <v>20</v>
      </c>
      <c r="I23" s="1">
        <v>1276</v>
      </c>
      <c r="J23" s="1">
        <v>406</v>
      </c>
      <c r="K23" s="1">
        <v>1276</v>
      </c>
      <c r="L23" s="1">
        <v>406</v>
      </c>
      <c r="M23" s="1" t="b">
        <f t="shared" si="0"/>
        <v>0</v>
      </c>
      <c r="N23" s="1" t="b">
        <f t="shared" si="1"/>
        <v>1</v>
      </c>
      <c r="O23" s="1">
        <f t="shared" si="2"/>
        <v>0</v>
      </c>
      <c r="P23" s="1">
        <f t="shared" si="3"/>
        <v>0</v>
      </c>
      <c r="Q23" s="1">
        <f t="shared" si="4"/>
        <v>-0.21428571428571427</v>
      </c>
      <c r="R23" s="1">
        <f t="shared" si="5"/>
        <v>-0.21428571428571427</v>
      </c>
      <c r="S23" s="1"/>
      <c r="T23" s="1"/>
      <c r="U23" s="1"/>
      <c r="V23" s="1"/>
      <c r="W23" s="1"/>
      <c r="X23" s="1"/>
      <c r="Y23" s="1"/>
      <c r="Z23" s="1"/>
    </row>
    <row r="24" spans="1:26" ht="26.5" thickBot="1" x14ac:dyDescent="0.4">
      <c r="A24" s="1">
        <v>11</v>
      </c>
      <c r="B24" s="1" t="s">
        <v>41</v>
      </c>
      <c r="C24" s="1">
        <v>1129</v>
      </c>
      <c r="D24" s="1">
        <v>1876</v>
      </c>
      <c r="E24" s="1">
        <v>382</v>
      </c>
      <c r="F24" s="1">
        <v>0</v>
      </c>
      <c r="G24" s="1">
        <v>10</v>
      </c>
      <c r="H24" s="1">
        <v>20</v>
      </c>
      <c r="I24" s="1">
        <v>1876</v>
      </c>
      <c r="J24" s="1">
        <v>400</v>
      </c>
      <c r="K24" s="1">
        <v>1876</v>
      </c>
      <c r="L24" s="1">
        <v>406.2</v>
      </c>
      <c r="M24" s="1" t="b">
        <f t="shared" si="0"/>
        <v>0</v>
      </c>
      <c r="N24" s="1" t="b">
        <f t="shared" si="1"/>
        <v>1</v>
      </c>
      <c r="O24" s="1">
        <f t="shared" si="2"/>
        <v>0</v>
      </c>
      <c r="P24" s="1">
        <f t="shared" si="3"/>
        <v>0</v>
      </c>
      <c r="Q24" s="1">
        <f t="shared" si="4"/>
        <v>-4.4999999999999998E-2</v>
      </c>
      <c r="R24" s="1">
        <f>(E24 - L24) / L24</f>
        <v>-5.9576563269325429E-2</v>
      </c>
      <c r="S24" s="1"/>
      <c r="T24" s="1"/>
      <c r="U24" s="1"/>
      <c r="V24" s="1"/>
      <c r="W24" s="1"/>
      <c r="X24" s="1"/>
      <c r="Y24" s="1"/>
      <c r="Z24" s="1"/>
    </row>
    <row r="25" spans="1:26" ht="26.5" thickBot="1" x14ac:dyDescent="0.4">
      <c r="A25" s="1">
        <v>11</v>
      </c>
      <c r="B25" s="1" t="s">
        <v>43</v>
      </c>
      <c r="C25" s="1">
        <v>1222</v>
      </c>
      <c r="D25" s="1">
        <v>2042</v>
      </c>
      <c r="E25" s="1">
        <v>402</v>
      </c>
      <c r="F25" s="1">
        <v>0</v>
      </c>
      <c r="G25" s="1">
        <v>10</v>
      </c>
      <c r="H25" s="1">
        <v>20</v>
      </c>
      <c r="I25" s="1">
        <v>3699</v>
      </c>
      <c r="J25" s="1">
        <v>495</v>
      </c>
      <c r="K25" s="1">
        <v>3699</v>
      </c>
      <c r="L25" s="1">
        <v>498.6</v>
      </c>
      <c r="M25" s="1" t="b">
        <f t="shared" si="0"/>
        <v>1</v>
      </c>
      <c r="N25" s="1" t="b">
        <f t="shared" si="1"/>
        <v>1</v>
      </c>
      <c r="O25" s="1">
        <f t="shared" si="2"/>
        <v>-0.44795890781292241</v>
      </c>
      <c r="P25" s="1">
        <f t="shared" si="3"/>
        <v>-0.44795890781292241</v>
      </c>
      <c r="Q25" s="1">
        <f t="shared" si="4"/>
        <v>-0.18787878787878787</v>
      </c>
      <c r="R25" s="1">
        <f t="shared" si="5"/>
        <v>-0.19374247894103494</v>
      </c>
      <c r="S25" s="1"/>
      <c r="T25" s="1"/>
      <c r="U25" s="1"/>
      <c r="V25" s="1"/>
      <c r="W25" s="1"/>
      <c r="X25" s="1"/>
      <c r="Y25" s="1"/>
      <c r="Z25" s="1"/>
    </row>
    <row r="26" spans="1:26" ht="26.5" thickBot="1" x14ac:dyDescent="0.4">
      <c r="A26" s="1">
        <v>12</v>
      </c>
      <c r="B26" s="1" t="s">
        <v>44</v>
      </c>
      <c r="C26" s="2">
        <v>1223</v>
      </c>
      <c r="D26" s="1">
        <v>2035</v>
      </c>
      <c r="E26" s="1">
        <v>412</v>
      </c>
      <c r="F26" s="1">
        <v>0</v>
      </c>
      <c r="G26" s="1">
        <v>10</v>
      </c>
      <c r="H26" s="1">
        <v>20</v>
      </c>
      <c r="I26" s="1">
        <v>2035</v>
      </c>
      <c r="J26" s="1">
        <v>494</v>
      </c>
      <c r="K26" s="1">
        <v>2035</v>
      </c>
      <c r="L26" s="1">
        <v>495</v>
      </c>
      <c r="M26" s="1" t="b">
        <f t="shared" si="0"/>
        <v>0</v>
      </c>
      <c r="N26" s="1" t="b">
        <f t="shared" si="1"/>
        <v>1</v>
      </c>
      <c r="O26" s="1">
        <f t="shared" si="2"/>
        <v>0</v>
      </c>
      <c r="P26" s="1">
        <f t="shared" si="3"/>
        <v>0</v>
      </c>
      <c r="Q26" s="1">
        <f t="shared" si="4"/>
        <v>-0.16599190283400811</v>
      </c>
      <c r="R26" s="1">
        <f t="shared" si="5"/>
        <v>-0.16767676767676767</v>
      </c>
      <c r="S26" s="1"/>
      <c r="T26" s="1"/>
      <c r="U26" s="1"/>
      <c r="V26" s="1"/>
      <c r="W26" s="1"/>
      <c r="X26" s="1"/>
      <c r="Y26" s="1"/>
      <c r="Z26" s="1"/>
    </row>
    <row r="27" spans="1:26" ht="26.5" thickBot="1" x14ac:dyDescent="0.4">
      <c r="A27" s="1">
        <v>12</v>
      </c>
      <c r="B27" s="1" t="s">
        <v>45</v>
      </c>
      <c r="C27" s="2">
        <v>1566</v>
      </c>
      <c r="D27" s="1">
        <v>2688</v>
      </c>
      <c r="E27" s="1">
        <v>445</v>
      </c>
      <c r="F27" s="1">
        <v>0</v>
      </c>
      <c r="G27" s="1">
        <v>10</v>
      </c>
      <c r="H27" s="1">
        <v>20</v>
      </c>
      <c r="I27" s="1">
        <v>2688</v>
      </c>
      <c r="J27" s="1">
        <v>499</v>
      </c>
      <c r="K27" s="1">
        <v>2688</v>
      </c>
      <c r="L27" s="1">
        <v>499</v>
      </c>
      <c r="M27" s="1" t="b">
        <f t="shared" si="0"/>
        <v>0</v>
      </c>
      <c r="N27" s="1" t="b">
        <f t="shared" si="1"/>
        <v>1</v>
      </c>
      <c r="O27" s="1">
        <f t="shared" si="2"/>
        <v>0</v>
      </c>
      <c r="P27" s="1">
        <f t="shared" si="3"/>
        <v>0</v>
      </c>
      <c r="Q27" s="1">
        <f t="shared" si="4"/>
        <v>-0.10821643286573146</v>
      </c>
      <c r="R27" s="1">
        <f t="shared" si="5"/>
        <v>-0.10821643286573146</v>
      </c>
      <c r="S27" s="1"/>
      <c r="T27" s="1"/>
      <c r="U27" s="1"/>
      <c r="V27" s="1"/>
      <c r="W27" s="1"/>
      <c r="X27" s="1"/>
      <c r="Y27" s="1"/>
      <c r="Z27" s="1"/>
    </row>
    <row r="28" spans="1:26" ht="26.5" thickBot="1" x14ac:dyDescent="0.4">
      <c r="A28" s="1">
        <v>12</v>
      </c>
      <c r="B28" s="1" t="s">
        <v>46</v>
      </c>
      <c r="C28" s="2">
        <v>2072</v>
      </c>
      <c r="D28" s="1">
        <v>3699</v>
      </c>
      <c r="E28" s="1">
        <v>446</v>
      </c>
      <c r="F28" s="1">
        <v>0</v>
      </c>
      <c r="G28" s="1">
        <v>10</v>
      </c>
      <c r="H28" s="1">
        <v>20</v>
      </c>
      <c r="I28" s="1">
        <v>3699</v>
      </c>
      <c r="J28" s="1">
        <v>495</v>
      </c>
      <c r="K28" s="1">
        <v>3699</v>
      </c>
      <c r="L28" s="1">
        <v>498.6</v>
      </c>
      <c r="M28" s="1" t="b">
        <f t="shared" si="0"/>
        <v>0</v>
      </c>
      <c r="N28" s="1" t="b">
        <f t="shared" si="1"/>
        <v>1</v>
      </c>
      <c r="O28" s="1">
        <f t="shared" si="2"/>
        <v>0</v>
      </c>
      <c r="P28" s="1">
        <f t="shared" si="3"/>
        <v>0</v>
      </c>
      <c r="Q28" s="1">
        <f t="shared" si="4"/>
        <v>-9.8989898989898989E-2</v>
      </c>
      <c r="R28" s="1">
        <f t="shared" si="5"/>
        <v>-0.10549538708383478</v>
      </c>
      <c r="S28" s="1"/>
      <c r="T28" s="1"/>
      <c r="U28" s="1"/>
      <c r="V28" s="1"/>
      <c r="W28" s="1"/>
      <c r="X28" s="1"/>
      <c r="Y28" s="1"/>
      <c r="Z28" s="1"/>
    </row>
    <row r="29" spans="1:26" ht="26.5" thickBot="1" x14ac:dyDescent="0.4">
      <c r="A29" s="1">
        <v>20</v>
      </c>
      <c r="B29" s="1" t="s">
        <v>47</v>
      </c>
      <c r="C29" s="1">
        <v>4026</v>
      </c>
      <c r="D29" s="1">
        <v>7338</v>
      </c>
      <c r="E29" s="1">
        <v>714</v>
      </c>
      <c r="F29" s="1">
        <v>1</v>
      </c>
      <c r="G29" s="1">
        <v>10</v>
      </c>
      <c r="H29" s="1">
        <v>20</v>
      </c>
      <c r="I29" s="1">
        <v>7338</v>
      </c>
      <c r="J29" s="1">
        <v>801.2</v>
      </c>
      <c r="K29" s="1">
        <v>7338</v>
      </c>
      <c r="L29" s="1">
        <v>776</v>
      </c>
      <c r="M29" s="1" t="b">
        <f t="shared" si="0"/>
        <v>0</v>
      </c>
      <c r="N29" s="1" t="b">
        <f t="shared" si="1"/>
        <v>1</v>
      </c>
      <c r="O29" s="1">
        <f t="shared" si="2"/>
        <v>0</v>
      </c>
      <c r="P29" s="1">
        <f t="shared" si="3"/>
        <v>0</v>
      </c>
      <c r="Q29" s="1">
        <f t="shared" si="4"/>
        <v>-0.10883674488267604</v>
      </c>
      <c r="R29" s="1">
        <f t="shared" si="5"/>
        <v>-7.9896907216494839E-2</v>
      </c>
      <c r="S29" s="1"/>
      <c r="T29" s="1"/>
      <c r="U29" s="1"/>
      <c r="V29" s="1"/>
      <c r="W29" s="1"/>
      <c r="X29" s="1"/>
      <c r="Y29" s="1"/>
      <c r="Z29" s="1"/>
    </row>
    <row r="30" spans="1:26" ht="26.5" thickBot="1" x14ac:dyDescent="0.4">
      <c r="A30" s="1">
        <v>20</v>
      </c>
      <c r="B30" s="1" t="s">
        <v>48</v>
      </c>
      <c r="C30" s="2">
        <v>2880</v>
      </c>
      <c r="D30" s="1">
        <v>5001</v>
      </c>
      <c r="E30" s="1">
        <v>760</v>
      </c>
      <c r="F30" s="1">
        <v>1</v>
      </c>
      <c r="G30" s="1">
        <v>10</v>
      </c>
      <c r="H30" s="1">
        <v>20</v>
      </c>
      <c r="I30" s="1">
        <v>5001</v>
      </c>
      <c r="J30" s="1">
        <v>772.6</v>
      </c>
      <c r="K30" s="1">
        <v>5001</v>
      </c>
      <c r="L30" s="1">
        <v>750</v>
      </c>
      <c r="M30" s="1" t="b">
        <f t="shared" si="0"/>
        <v>0</v>
      </c>
      <c r="N30" s="1" t="b">
        <f t="shared" si="1"/>
        <v>1</v>
      </c>
      <c r="O30" s="1">
        <f t="shared" si="2"/>
        <v>0</v>
      </c>
      <c r="P30" s="1">
        <f t="shared" si="3"/>
        <v>0</v>
      </c>
      <c r="Q30" s="1">
        <f t="shared" si="4"/>
        <v>-1.6308568470100988E-2</v>
      </c>
      <c r="R30" s="1">
        <f t="shared" si="5"/>
        <v>1.3333333333333334E-2</v>
      </c>
      <c r="S30" s="1"/>
      <c r="T30" s="1"/>
      <c r="U30" s="1"/>
      <c r="V30" s="1"/>
      <c r="W30" s="1"/>
      <c r="X30" s="1"/>
      <c r="Y30" s="1"/>
      <c r="Z30" s="1"/>
    </row>
    <row r="31" spans="1:26" ht="26.5" thickBot="1" x14ac:dyDescent="0.4">
      <c r="A31" s="1">
        <v>30</v>
      </c>
      <c r="B31" s="1" t="s">
        <v>49</v>
      </c>
      <c r="C31" s="2">
        <v>3816</v>
      </c>
      <c r="D31" s="1">
        <v>6401</v>
      </c>
      <c r="E31" s="1">
        <v>1232</v>
      </c>
      <c r="F31" s="1">
        <v>1</v>
      </c>
      <c r="G31" s="1">
        <v>10</v>
      </c>
      <c r="H31" s="1">
        <v>20</v>
      </c>
      <c r="I31" s="1">
        <v>6401</v>
      </c>
      <c r="J31" s="1">
        <v>1284.8</v>
      </c>
      <c r="K31" s="1">
        <v>6401</v>
      </c>
      <c r="L31" s="1">
        <v>1201</v>
      </c>
      <c r="M31" s="1" t="b">
        <f t="shared" si="0"/>
        <v>0</v>
      </c>
      <c r="N31" s="1" t="b">
        <f t="shared" si="1"/>
        <v>1</v>
      </c>
      <c r="O31" s="1">
        <f t="shared" si="2"/>
        <v>0</v>
      </c>
      <c r="P31" s="1">
        <f t="shared" si="3"/>
        <v>0</v>
      </c>
      <c r="Q31" s="1">
        <f t="shared" si="4"/>
        <v>-4.1095890410958867E-2</v>
      </c>
      <c r="R31" s="1">
        <f t="shared" si="5"/>
        <v>2.5811823480432972E-2</v>
      </c>
      <c r="S31" s="1"/>
      <c r="T31" s="1"/>
      <c r="U31" s="1"/>
      <c r="V31" s="1"/>
      <c r="W31" s="1"/>
      <c r="X31" s="1"/>
      <c r="Y31" s="1"/>
      <c r="Z31" s="1"/>
    </row>
    <row r="32" spans="1:26" ht="26.5" thickBot="1" x14ac:dyDescent="0.4">
      <c r="A32" s="1">
        <v>30</v>
      </c>
      <c r="B32" s="1" t="s">
        <v>50</v>
      </c>
      <c r="C32" s="2">
        <v>5316</v>
      </c>
      <c r="D32" s="1">
        <v>9529</v>
      </c>
      <c r="E32" s="1">
        <v>1104</v>
      </c>
      <c r="F32" s="1">
        <v>1</v>
      </c>
      <c r="G32" s="1">
        <v>10</v>
      </c>
      <c r="H32" s="1">
        <v>20</v>
      </c>
      <c r="I32" s="1">
        <v>9529</v>
      </c>
      <c r="J32" s="1">
        <v>1220.4000000000001</v>
      </c>
      <c r="K32" s="1">
        <v>9529</v>
      </c>
      <c r="L32" s="1">
        <v>1182</v>
      </c>
      <c r="M32" s="1" t="b">
        <f t="shared" si="0"/>
        <v>0</v>
      </c>
      <c r="N32" s="1" t="b">
        <f t="shared" si="1"/>
        <v>1</v>
      </c>
      <c r="O32" s="1">
        <f t="shared" si="2"/>
        <v>0</v>
      </c>
      <c r="P32" s="1">
        <f t="shared" si="3"/>
        <v>0</v>
      </c>
      <c r="Q32" s="1">
        <f t="shared" si="4"/>
        <v>-9.537856440511315E-2</v>
      </c>
      <c r="R32" s="1">
        <f t="shared" si="5"/>
        <v>-6.5989847715736044E-2</v>
      </c>
      <c r="S32" s="1"/>
      <c r="T32" s="1"/>
      <c r="U32" s="1"/>
      <c r="V32" s="1"/>
      <c r="W32" s="1"/>
      <c r="X32" s="1"/>
      <c r="Y32" s="1"/>
      <c r="Z32" s="1"/>
    </row>
    <row r="33" spans="1:26" ht="26.5" thickBot="1" x14ac:dyDescent="0.4">
      <c r="A33" s="1">
        <v>30</v>
      </c>
      <c r="B33" s="1" t="s">
        <v>52</v>
      </c>
      <c r="C33" s="1">
        <v>3169</v>
      </c>
      <c r="D33" s="1">
        <v>5081</v>
      </c>
      <c r="E33" s="1">
        <v>1257</v>
      </c>
      <c r="F33" s="1">
        <v>1</v>
      </c>
      <c r="G33" s="1">
        <v>10</v>
      </c>
      <c r="H33" s="1">
        <v>20</v>
      </c>
      <c r="I33" s="1">
        <v>5081</v>
      </c>
      <c r="J33" s="1">
        <v>1279.8</v>
      </c>
      <c r="K33" s="1">
        <v>5081</v>
      </c>
      <c r="L33" s="1">
        <v>1216</v>
      </c>
      <c r="M33" s="1" t="b">
        <f t="shared" si="0"/>
        <v>0</v>
      </c>
      <c r="N33" s="1" t="b">
        <f t="shared" si="1"/>
        <v>1</v>
      </c>
      <c r="O33" s="1">
        <f t="shared" si="2"/>
        <v>0</v>
      </c>
      <c r="P33" s="1">
        <f t="shared" si="3"/>
        <v>0</v>
      </c>
      <c r="Q33" s="1">
        <f t="shared" si="4"/>
        <v>-1.7815283638068412E-2</v>
      </c>
      <c r="R33" s="1">
        <f t="shared" si="5"/>
        <v>3.3717105263157895E-2</v>
      </c>
      <c r="S33" s="1"/>
      <c r="T33" s="1"/>
      <c r="U33" s="1"/>
      <c r="V33" s="1"/>
      <c r="W33" s="1"/>
      <c r="X33" s="1"/>
      <c r="Y33" s="1"/>
      <c r="Z33" s="1"/>
    </row>
    <row r="34" spans="1:26" ht="15" thickBot="1" x14ac:dyDescent="0.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thickBot="1" x14ac:dyDescent="0.4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thickBot="1" x14ac:dyDescent="0.4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" thickBot="1" x14ac:dyDescent="0.4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" thickBot="1" x14ac:dyDescent="0.4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" thickBot="1" x14ac:dyDescent="0.4">
      <c r="A39" s="1"/>
      <c r="B39" s="1"/>
      <c r="C39" s="1"/>
      <c r="D39" s="1"/>
      <c r="E39" s="1"/>
      <c r="F39" s="1"/>
      <c r="G39" s="1"/>
      <c r="H39" s="1"/>
      <c r="I39" s="1">
        <v>9529</v>
      </c>
      <c r="J39" s="1" t="s">
        <v>51</v>
      </c>
      <c r="K39" s="1">
        <v>9529</v>
      </c>
      <c r="L39" s="1">
        <v>1182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" thickBot="1" x14ac:dyDescent="0.4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" thickBot="1" x14ac:dyDescent="0.4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" thickBot="1" x14ac:dyDescent="0.4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" thickBot="1" x14ac:dyDescent="0.4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" thickBot="1" x14ac:dyDescent="0.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" thickBot="1" x14ac:dyDescent="0.4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" thickBot="1" x14ac:dyDescent="0.4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" thickBot="1" x14ac:dyDescent="0.4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" thickBot="1" x14ac:dyDescent="0.4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" thickBot="1" x14ac:dyDescent="0.4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" thickBot="1" x14ac:dyDescent="0.4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" thickBot="1" x14ac:dyDescent="0.4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" thickBot="1" x14ac:dyDescent="0.4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" thickBot="1" x14ac:dyDescent="0.4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" thickBot="1" x14ac:dyDescent="0.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" thickBot="1" x14ac:dyDescent="0.4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" thickBot="1" x14ac:dyDescent="0.4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" thickBot="1" x14ac:dyDescent="0.4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" thickBot="1" x14ac:dyDescent="0.4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" thickBot="1" x14ac:dyDescent="0.4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" thickBot="1" x14ac:dyDescent="0.4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" thickBot="1" x14ac:dyDescent="0.4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" thickBot="1" x14ac:dyDescent="0.4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" thickBot="1" x14ac:dyDescent="0.4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" thickBot="1" x14ac:dyDescent="0.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" thickBot="1" x14ac:dyDescent="0.4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" thickBot="1" x14ac:dyDescent="0.4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" thickBot="1" x14ac:dyDescent="0.4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" thickBot="1" x14ac:dyDescent="0.4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" thickBot="1" x14ac:dyDescent="0.4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" thickBot="1" x14ac:dyDescent="0.4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" thickBot="1" x14ac:dyDescent="0.4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" thickBot="1" x14ac:dyDescent="0.4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" thickBot="1" x14ac:dyDescent="0.4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" thickBot="1" x14ac:dyDescent="0.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" thickBot="1" x14ac:dyDescent="0.4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" thickBot="1" x14ac:dyDescent="0.4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26.5" thickBot="1" x14ac:dyDescent="0.4">
      <c r="A77" s="1"/>
      <c r="B77" s="1"/>
      <c r="C77" s="1"/>
      <c r="D77" s="1"/>
      <c r="E77" s="1"/>
      <c r="F77" s="1"/>
      <c r="G77" s="1"/>
      <c r="H77" s="1"/>
      <c r="I77" s="1" t="s">
        <v>8</v>
      </c>
      <c r="J77" s="1" t="s">
        <v>9</v>
      </c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" thickBot="1" x14ac:dyDescent="0.4">
      <c r="A78" s="1"/>
      <c r="B78" s="1"/>
      <c r="C78" s="1"/>
      <c r="D78" s="1"/>
      <c r="E78" s="1"/>
      <c r="F78" s="1"/>
      <c r="G78" s="1"/>
      <c r="H78" s="1"/>
      <c r="I78" s="1">
        <v>1542</v>
      </c>
      <c r="J78" s="1">
        <v>111</v>
      </c>
      <c r="K78" s="1">
        <v>1542</v>
      </c>
      <c r="L78" s="1">
        <v>11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" thickBot="1" x14ac:dyDescent="0.4">
      <c r="A79" s="1"/>
      <c r="B79" s="1"/>
      <c r="C79" s="1"/>
      <c r="D79" s="1"/>
      <c r="E79" s="1"/>
      <c r="F79" s="1"/>
      <c r="G79" s="1"/>
      <c r="H79" s="1"/>
      <c r="I79" s="1">
        <v>1096</v>
      </c>
      <c r="J79" s="1">
        <v>136</v>
      </c>
      <c r="K79" s="1">
        <v>1096</v>
      </c>
      <c r="L79" s="1">
        <v>136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" thickBot="1" x14ac:dyDescent="0.4">
      <c r="A80" s="1"/>
      <c r="B80" s="1"/>
      <c r="C80" s="1"/>
      <c r="D80" s="1"/>
      <c r="E80" s="1"/>
      <c r="F80" s="1"/>
      <c r="G80" s="1"/>
      <c r="H80" s="1"/>
      <c r="I80" s="1">
        <v>351</v>
      </c>
      <c r="J80" s="1">
        <v>136</v>
      </c>
      <c r="K80" s="1">
        <v>351</v>
      </c>
      <c r="L80" s="1">
        <v>136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" thickBot="1" x14ac:dyDescent="0.4">
      <c r="A81" s="1"/>
      <c r="B81" s="1"/>
      <c r="C81" s="1"/>
      <c r="D81" s="1"/>
      <c r="E81" s="1"/>
      <c r="F81" s="1"/>
      <c r="G81" s="1"/>
      <c r="H81" s="1"/>
      <c r="I81" s="1">
        <v>1835</v>
      </c>
      <c r="J81" s="1">
        <v>194</v>
      </c>
      <c r="K81" s="1">
        <v>1835</v>
      </c>
      <c r="L81" s="1">
        <v>194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" thickBot="1" x14ac:dyDescent="0.4">
      <c r="A82" s="1"/>
      <c r="B82" s="1"/>
      <c r="C82" s="1"/>
      <c r="D82" s="1"/>
      <c r="E82" s="1"/>
      <c r="F82" s="1"/>
      <c r="G82" s="1"/>
      <c r="H82" s="1"/>
      <c r="I82" s="1">
        <v>750</v>
      </c>
      <c r="J82" s="1">
        <v>199</v>
      </c>
      <c r="K82" s="1">
        <v>750</v>
      </c>
      <c r="L82" s="1">
        <v>199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" thickBot="1" x14ac:dyDescent="0.4">
      <c r="A83" s="1"/>
      <c r="B83" s="1"/>
      <c r="C83" s="1"/>
      <c r="D83" s="1"/>
      <c r="E83" s="1"/>
      <c r="F83" s="1"/>
      <c r="G83" s="1"/>
      <c r="H83" s="1"/>
      <c r="I83" s="1">
        <v>1923</v>
      </c>
      <c r="J83" s="1">
        <v>214</v>
      </c>
      <c r="K83" s="1">
        <v>1923</v>
      </c>
      <c r="L83" s="1">
        <v>214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" thickBot="1" x14ac:dyDescent="0.4">
      <c r="A84" s="1"/>
      <c r="B84" s="1"/>
      <c r="C84" s="1"/>
      <c r="D84" s="1"/>
      <c r="E84" s="1"/>
      <c r="F84" s="1"/>
      <c r="G84" s="1"/>
      <c r="H84" s="1"/>
      <c r="I84" s="1">
        <v>1440</v>
      </c>
      <c r="J84" s="1">
        <v>160</v>
      </c>
      <c r="K84" s="1">
        <v>1440</v>
      </c>
      <c r="L84" s="1">
        <v>160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" thickBot="1" x14ac:dyDescent="0.4">
      <c r="A85" s="1"/>
      <c r="B85" s="1"/>
      <c r="C85" s="1"/>
      <c r="D85" s="1"/>
      <c r="E85" s="1"/>
      <c r="F85" s="1"/>
      <c r="G85" s="1"/>
      <c r="H85" s="1"/>
      <c r="I85" s="1">
        <v>1033</v>
      </c>
      <c r="J85" s="1">
        <v>183</v>
      </c>
      <c r="K85" s="1">
        <v>1033</v>
      </c>
      <c r="L85" s="1">
        <v>183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" thickBot="1" x14ac:dyDescent="0.4">
      <c r="A86" s="1"/>
      <c r="B86" s="1"/>
      <c r="C86" s="1"/>
      <c r="D86" s="1"/>
      <c r="E86" s="1"/>
      <c r="F86" s="1"/>
      <c r="G86" s="1"/>
      <c r="H86" s="1"/>
      <c r="I86" s="1">
        <v>1166</v>
      </c>
      <c r="J86" s="1">
        <v>192</v>
      </c>
      <c r="K86" s="1">
        <v>1166</v>
      </c>
      <c r="L86" s="1">
        <v>192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" thickBot="1" x14ac:dyDescent="0.4">
      <c r="A87" s="1"/>
      <c r="B87" s="1"/>
      <c r="C87" s="1"/>
      <c r="D87" s="1"/>
      <c r="E87" s="1"/>
      <c r="F87" s="1"/>
      <c r="G87" s="1"/>
      <c r="H87" s="1"/>
      <c r="I87" s="1">
        <v>1263</v>
      </c>
      <c r="J87" s="1">
        <v>282</v>
      </c>
      <c r="K87" s="1">
        <v>1263</v>
      </c>
      <c r="L87" s="1">
        <v>287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" thickBot="1" x14ac:dyDescent="0.4">
      <c r="A88" s="1"/>
      <c r="B88" s="1"/>
      <c r="C88" s="1"/>
      <c r="D88" s="1"/>
      <c r="E88" s="1"/>
      <c r="F88" s="1"/>
      <c r="G88" s="1"/>
      <c r="H88" s="1"/>
      <c r="I88" s="1">
        <v>1792</v>
      </c>
      <c r="J88" s="1">
        <v>306</v>
      </c>
      <c r="K88" s="1">
        <v>1792</v>
      </c>
      <c r="L88" s="1">
        <v>306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" thickBot="1" x14ac:dyDescent="0.4">
      <c r="A89" s="1"/>
      <c r="B89" s="1"/>
      <c r="C89" s="1"/>
      <c r="D89" s="1"/>
      <c r="E89" s="1"/>
      <c r="F89" s="1"/>
      <c r="G89" s="1"/>
      <c r="H89" s="1"/>
      <c r="I89" s="1">
        <v>1797</v>
      </c>
      <c r="J89" s="1">
        <v>293</v>
      </c>
      <c r="K89" s="1">
        <v>1797</v>
      </c>
      <c r="L89" s="1">
        <v>293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" thickBot="1" x14ac:dyDescent="0.4">
      <c r="A90" s="1"/>
      <c r="B90" s="1"/>
      <c r="C90" s="1"/>
      <c r="D90" s="1"/>
      <c r="E90" s="1"/>
      <c r="F90" s="1"/>
      <c r="G90" s="1"/>
      <c r="H90" s="1"/>
      <c r="I90" s="1">
        <v>1821</v>
      </c>
      <c r="J90" s="1">
        <v>273</v>
      </c>
      <c r="K90" s="1">
        <v>1821</v>
      </c>
      <c r="L90" s="1">
        <v>273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" thickBot="1" x14ac:dyDescent="0.4">
      <c r="A91" s="1"/>
      <c r="B91" s="1"/>
      <c r="C91" s="1"/>
      <c r="D91" s="1"/>
      <c r="E91" s="1"/>
      <c r="F91" s="1"/>
      <c r="G91" s="1"/>
      <c r="H91" s="1"/>
      <c r="I91" s="1">
        <v>2520</v>
      </c>
      <c r="J91" s="1">
        <v>281</v>
      </c>
      <c r="K91" s="1">
        <v>2520</v>
      </c>
      <c r="L91" s="1">
        <v>281</v>
      </c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" thickBot="1" x14ac:dyDescent="0.4">
      <c r="A92" s="1"/>
      <c r="B92" s="1"/>
      <c r="C92" s="1"/>
      <c r="D92" s="1"/>
      <c r="E92" s="1"/>
      <c r="F92" s="1"/>
      <c r="G92" s="1"/>
      <c r="H92" s="1"/>
      <c r="I92" s="1">
        <v>2510</v>
      </c>
      <c r="J92" s="1">
        <v>283</v>
      </c>
      <c r="K92" s="1">
        <v>2510</v>
      </c>
      <c r="L92" s="1">
        <v>283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" thickBot="1" x14ac:dyDescent="0.4">
      <c r="A93" s="1"/>
      <c r="B93" s="1"/>
      <c r="C93" s="1"/>
      <c r="D93" s="1"/>
      <c r="E93" s="1"/>
      <c r="F93" s="1"/>
      <c r="G93" s="1"/>
      <c r="H93" s="1"/>
      <c r="I93" s="1">
        <v>1650</v>
      </c>
      <c r="J93" s="1" t="s">
        <v>30</v>
      </c>
      <c r="K93" s="1">
        <v>1650</v>
      </c>
      <c r="L93" s="1">
        <v>366</v>
      </c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" thickBot="1" x14ac:dyDescent="0.4">
      <c r="A94" s="1"/>
      <c r="B94" s="1"/>
      <c r="C94" s="1"/>
      <c r="D94" s="1"/>
      <c r="E94" s="1"/>
      <c r="F94" s="1"/>
      <c r="G94" s="1"/>
      <c r="H94" s="1"/>
      <c r="I94" s="1">
        <v>2331</v>
      </c>
      <c r="J94" s="1" t="s">
        <v>32</v>
      </c>
      <c r="K94" s="1">
        <v>2331</v>
      </c>
      <c r="L94" s="1" t="s">
        <v>33</v>
      </c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" thickBot="1" x14ac:dyDescent="0.4">
      <c r="A95" s="1"/>
      <c r="B95" s="1"/>
      <c r="C95" s="1"/>
      <c r="D95" s="1"/>
      <c r="E95" s="1"/>
      <c r="F95" s="1"/>
      <c r="G95" s="1"/>
      <c r="H95" s="1"/>
      <c r="I95" s="1">
        <v>891</v>
      </c>
      <c r="J95" s="1">
        <v>357</v>
      </c>
      <c r="K95" s="1">
        <v>891</v>
      </c>
      <c r="L95" s="1" t="s">
        <v>28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" thickBot="1" x14ac:dyDescent="0.4">
      <c r="A96" s="1"/>
      <c r="B96" s="1"/>
      <c r="C96" s="1"/>
      <c r="D96" s="1"/>
      <c r="E96" s="1"/>
      <c r="F96" s="1"/>
      <c r="G96" s="1"/>
      <c r="H96" s="1"/>
      <c r="I96" s="1">
        <v>1588</v>
      </c>
      <c r="J96" s="1">
        <v>431</v>
      </c>
      <c r="K96" s="1">
        <v>1588</v>
      </c>
      <c r="L96" s="1">
        <v>436</v>
      </c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" thickBot="1" x14ac:dyDescent="0.4">
      <c r="A97" s="1"/>
      <c r="B97" s="1"/>
      <c r="C97" s="1"/>
      <c r="D97" s="1"/>
      <c r="E97" s="1"/>
      <c r="F97" s="1"/>
      <c r="G97" s="1"/>
      <c r="H97" s="1"/>
      <c r="I97" s="1">
        <v>3102</v>
      </c>
      <c r="J97" s="1" t="s">
        <v>38</v>
      </c>
      <c r="K97" s="1">
        <v>3102</v>
      </c>
      <c r="L97" s="1" t="s">
        <v>39</v>
      </c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" thickBot="1" x14ac:dyDescent="0.4">
      <c r="A98" s="1"/>
      <c r="B98" s="1"/>
      <c r="C98" s="1"/>
      <c r="D98" s="1"/>
      <c r="E98" s="1"/>
      <c r="F98" s="1"/>
      <c r="G98" s="1"/>
      <c r="H98" s="1"/>
      <c r="I98" s="1">
        <v>2098</v>
      </c>
      <c r="J98" s="1">
        <v>392</v>
      </c>
      <c r="K98" s="1">
        <v>2098</v>
      </c>
      <c r="L98" s="1" t="s">
        <v>36</v>
      </c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" thickBot="1" x14ac:dyDescent="0.4">
      <c r="A99" s="1"/>
      <c r="B99" s="1"/>
      <c r="C99" s="1"/>
      <c r="D99" s="1"/>
      <c r="E99" s="1"/>
      <c r="F99" s="1"/>
      <c r="G99" s="1"/>
      <c r="H99" s="1"/>
      <c r="I99" s="1">
        <v>1876</v>
      </c>
      <c r="J99" s="1">
        <v>400</v>
      </c>
      <c r="K99" s="1">
        <v>1876</v>
      </c>
      <c r="L99" s="1" t="s">
        <v>42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" thickBot="1" x14ac:dyDescent="0.4">
      <c r="A100" s="1"/>
      <c r="B100" s="1"/>
      <c r="C100" s="1"/>
      <c r="D100" s="1"/>
      <c r="E100" s="1"/>
      <c r="F100" s="1"/>
      <c r="G100" s="1"/>
      <c r="H100" s="1"/>
      <c r="I100" s="1">
        <v>2042</v>
      </c>
      <c r="J100" s="1" t="s">
        <v>53</v>
      </c>
      <c r="K100" s="1">
        <v>2042</v>
      </c>
      <c r="L100" s="1">
        <v>407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Taieb</dc:creator>
  <cp:lastModifiedBy>Zineb TAIEB</cp:lastModifiedBy>
  <dcterms:created xsi:type="dcterms:W3CDTF">2025-12-11T16:20:26Z</dcterms:created>
  <dcterms:modified xsi:type="dcterms:W3CDTF">2025-12-11T21:37:05Z</dcterms:modified>
</cp:coreProperties>
</file>