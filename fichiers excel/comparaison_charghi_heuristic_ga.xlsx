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ieb\Algo_genetique\fichiers excel\"/>
    </mc:Choice>
  </mc:AlternateContent>
  <xr:revisionPtr revIDLastSave="0" documentId="13_ncr:1_{8494B0A5-8E45-490A-9727-145CA0BB9AAF}" xr6:coauthVersionLast="47" xr6:coauthVersionMax="47" xr10:uidLastSave="{00000000-0000-0000-0000-000000000000}"/>
  <bookViews>
    <workbookView xWindow="28680" yWindow="-120" windowWidth="29040" windowHeight="15720" xr2:uid="{D4E89BA2-F8B2-4FDE-8A90-9CBD21F6823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2" i="1"/>
  <c r="S2" i="1"/>
  <c r="U4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U3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2" i="1"/>
  <c r="V2" i="1"/>
  <c r="V3" i="1"/>
  <c r="V24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5" i="1"/>
  <c r="V26" i="1"/>
  <c r="V27" i="1"/>
  <c r="V28" i="1"/>
  <c r="V29" i="1"/>
  <c r="V30" i="1"/>
  <c r="V31" i="1"/>
  <c r="V32" i="1"/>
  <c r="V33" i="1"/>
  <c r="R6" i="1"/>
  <c r="R5" i="1"/>
  <c r="R4" i="1"/>
  <c r="R2" i="1"/>
  <c r="R3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Q2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</calcChain>
</file>

<file path=xl/sharedStrings.xml><?xml version="1.0" encoding="utf-8"?>
<sst xmlns="http://schemas.openxmlformats.org/spreadsheetml/2006/main" count="62" uniqueCount="60">
  <si>
    <t>Instance</t>
  </si>
  <si>
    <t>file name</t>
  </si>
  <si>
    <t>BestFitness</t>
  </si>
  <si>
    <t>truck cost</t>
  </si>
  <si>
    <t>energy cost</t>
  </si>
  <si>
    <t>ExecutionTime(s)</t>
  </si>
  <si>
    <t>PopulationSize</t>
  </si>
  <si>
    <t>Generations</t>
  </si>
  <si>
    <t>F1(MO-VNSSA)</t>
  </si>
  <si>
    <t>F2 (MO-VNSSA</t>
  </si>
  <si>
    <t>F1(MO-VNSTS)</t>
  </si>
  <si>
    <t>F2 (MO-VNSTS)</t>
  </si>
  <si>
    <t>inst_4_1_4.txt</t>
  </si>
  <si>
    <t>inst_4_2_4.txt</t>
  </si>
  <si>
    <t>inst_4_3_4.txt</t>
  </si>
  <si>
    <t>inst_5_1_4.txt</t>
  </si>
  <si>
    <t>inst_5_2_4.txt</t>
  </si>
  <si>
    <t>inst_5_3_4.txt</t>
  </si>
  <si>
    <t>inst_6_1_5.txt</t>
  </si>
  <si>
    <t>inst_6_2_5.txt</t>
  </si>
  <si>
    <t>inst_6_3_5.txt</t>
  </si>
  <si>
    <t>inst_7_1_5.txt</t>
  </si>
  <si>
    <t>inst_7_2_5.txt</t>
  </si>
  <si>
    <t>inst_7_3_5.txt</t>
  </si>
  <si>
    <t>inst_8_1_5.txt</t>
  </si>
  <si>
    <t>inst_8_2_5.txt</t>
  </si>
  <si>
    <t>inst_8_3_5.txt</t>
  </si>
  <si>
    <t>inst_9_1_7.txt</t>
  </si>
  <si>
    <t>360.2</t>
  </si>
  <si>
    <t>inst_9_2_7.txt</t>
  </si>
  <si>
    <t>355.8</t>
  </si>
  <si>
    <t>inst_9_3_7.txt</t>
  </si>
  <si>
    <t>372.8</t>
  </si>
  <si>
    <t>374.8</t>
  </si>
  <si>
    <t>inst_10_1_7.txt</t>
  </si>
  <si>
    <t>inst_10_2_7.txt</t>
  </si>
  <si>
    <t>394.2</t>
  </si>
  <si>
    <t>inst_10_3_7.txt</t>
  </si>
  <si>
    <t>422.6</t>
  </si>
  <si>
    <t>425.6</t>
  </si>
  <si>
    <t>inst_11_1_7.txt</t>
  </si>
  <si>
    <t>inst_11_2_7.txt</t>
  </si>
  <si>
    <t>406.2</t>
  </si>
  <si>
    <t>inst_11_3_7.txt</t>
  </si>
  <si>
    <t>inst_12_1_7.txt</t>
  </si>
  <si>
    <t>inst_12_2_7.txt</t>
  </si>
  <si>
    <t>inst_12_3_7.txt</t>
  </si>
  <si>
    <t>inst_20_10_15.txt</t>
  </si>
  <si>
    <t>inst_20_7_15.txt</t>
  </si>
  <si>
    <t>inst_30_10_20.txt</t>
  </si>
  <si>
    <t>inst_30_15_20.txt</t>
  </si>
  <si>
    <t>1220.4</t>
  </si>
  <si>
    <t>inst_30_7_20.txt</t>
  </si>
  <si>
    <t>401.4</t>
  </si>
  <si>
    <t>GAP (ga -heuristic F)</t>
  </si>
  <si>
    <t>GAP (ga -heuristic F2)</t>
  </si>
  <si>
    <t>% Difference(F1_GA_MOVNSSA)</t>
  </si>
  <si>
    <t>% Difference(F1_GA_MOVNSTS)</t>
  </si>
  <si>
    <t>% Difference(F2_GA_MOVNSSA)</t>
  </si>
  <si>
    <t>% Difference(F2_GA_MOVNSTS)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</si>
</sst>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2E75-8582-4D15-B38D-AC300AA8CF9E}">
  <dimension ref="A1:AD100"/>
  <sheetViews>
    <sheetView tabSelected="1" workbookViewId="0">
      <selection activeCell="O2" sqref="O2"/>
    </sheetView>
  </sheetViews>
  <sheetFormatPr baseColWidth="10" defaultColWidth="10.85546875" defaultRowHeight="15" x14ac:dyDescent="0.25"/>
  <cols>
    <col min="9" max="10" width="10.85546875" customWidth="1"/>
    <col min="19" max="19" width="22.140625" customWidth="1"/>
    <col min="20" max="20" width="20.85546875" customWidth="1"/>
    <col min="21" max="21" width="23.28515625" customWidth="1"/>
    <col min="22" max="22" width="21.140625" customWidth="1"/>
  </cols>
  <sheetData>
    <row r="1" spans="1:30" ht="39" thickBot="1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8</v>
      </c>
      <c r="F1" s="1" t="s">
        <v>10</v>
      </c>
      <c r="G1" s="2" t="s">
        <v>4</v>
      </c>
      <c r="H1" s="1" t="s">
        <v>9</v>
      </c>
      <c r="I1" s="1" t="s">
        <v>11</v>
      </c>
      <c r="J1" s="1" t="s">
        <v>5</v>
      </c>
      <c r="K1" s="2" t="s">
        <v>6</v>
      </c>
      <c r="L1" s="2" t="s">
        <v>7</v>
      </c>
      <c r="Q1" s="1" t="s">
        <v>54</v>
      </c>
      <c r="R1" s="1" t="s">
        <v>55</v>
      </c>
      <c r="S1" s="1" t="s">
        <v>56</v>
      </c>
      <c r="T1" s="1" t="s">
        <v>57</v>
      </c>
      <c r="U1" s="1" t="s">
        <v>58</v>
      </c>
      <c r="V1" s="1" t="s">
        <v>59</v>
      </c>
      <c r="W1" s="1"/>
      <c r="X1" s="1"/>
      <c r="Y1" s="1"/>
      <c r="Z1" s="1"/>
      <c r="AA1" s="1"/>
      <c r="AB1" s="1"/>
      <c r="AC1" s="1"/>
      <c r="AD1" s="1"/>
    </row>
    <row r="2" spans="1:30" ht="26.25" thickBot="1" x14ac:dyDescent="0.3">
      <c r="A2" s="1">
        <v>4</v>
      </c>
      <c r="B2" s="1" t="s">
        <v>12</v>
      </c>
      <c r="C2">
        <v>243.5</v>
      </c>
      <c r="D2">
        <v>351</v>
      </c>
      <c r="E2" s="1">
        <v>351</v>
      </c>
      <c r="F2" s="1">
        <v>351</v>
      </c>
      <c r="G2">
        <v>136</v>
      </c>
      <c r="H2" s="1">
        <v>136</v>
      </c>
      <c r="I2" s="1">
        <v>136</v>
      </c>
      <c r="J2" s="1">
        <v>0</v>
      </c>
      <c r="K2">
        <v>50</v>
      </c>
      <c r="L2">
        <v>100</v>
      </c>
      <c r="Q2" s="1" t="b">
        <f>OR(D2&lt;E2, D2&lt;F2)</f>
        <v>0</v>
      </c>
      <c r="R2" s="1" t="b">
        <f>OR(G2&lt;H2, G2&lt;I2)</f>
        <v>0</v>
      </c>
      <c r="S2" s="1">
        <f>(D2 - E2) / E2</f>
        <v>0</v>
      </c>
      <c r="T2" s="1">
        <f>(D2 - F2) / F2</f>
        <v>0</v>
      </c>
      <c r="U2" s="1">
        <f>(G2 - H2) / H2</f>
        <v>0</v>
      </c>
      <c r="V2" s="1">
        <f>(G2 - I2) / I2</f>
        <v>0</v>
      </c>
      <c r="W2" s="1"/>
      <c r="X2" s="1"/>
      <c r="Y2" s="1"/>
      <c r="Z2" s="1"/>
      <c r="AA2" s="1"/>
      <c r="AB2" s="1"/>
      <c r="AC2" s="1"/>
      <c r="AD2" s="1"/>
    </row>
    <row r="3" spans="1:30" ht="26.25" thickBot="1" x14ac:dyDescent="0.3">
      <c r="A3" s="1">
        <v>4</v>
      </c>
      <c r="B3" s="1" t="s">
        <v>13</v>
      </c>
      <c r="C3">
        <v>616</v>
      </c>
      <c r="D3">
        <v>1096</v>
      </c>
      <c r="E3" s="1">
        <v>1096</v>
      </c>
      <c r="F3" s="1">
        <v>1096</v>
      </c>
      <c r="G3">
        <v>136</v>
      </c>
      <c r="H3" s="1">
        <v>136</v>
      </c>
      <c r="I3" s="1">
        <v>136</v>
      </c>
      <c r="J3" s="1">
        <v>0</v>
      </c>
      <c r="K3">
        <v>50</v>
      </c>
      <c r="L3">
        <v>100</v>
      </c>
      <c r="Q3" s="1" t="b">
        <f>OR(D3&lt;E3, D3&lt;F3)</f>
        <v>0</v>
      </c>
      <c r="R3" s="1" t="b">
        <f>OR(G3&lt;H3, G3&lt;I3)</f>
        <v>0</v>
      </c>
      <c r="S3" s="1">
        <f>(D3 - E3) / E3</f>
        <v>0</v>
      </c>
      <c r="T3" s="1">
        <f>(D3 - F3) / F3</f>
        <v>0</v>
      </c>
      <c r="U3" s="1">
        <f>(G3 - H3) / H3</f>
        <v>0</v>
      </c>
      <c r="V3" s="1">
        <f>(G3 - I3) / I3</f>
        <v>0</v>
      </c>
      <c r="W3" s="1"/>
      <c r="X3" s="1"/>
      <c r="Y3" s="1"/>
      <c r="Z3" s="1"/>
      <c r="AA3" s="1"/>
      <c r="AB3" s="1"/>
      <c r="AC3" s="1"/>
      <c r="AD3" s="1"/>
    </row>
    <row r="4" spans="1:30" ht="26.25" thickBot="1" x14ac:dyDescent="0.3">
      <c r="A4" s="1">
        <v>4</v>
      </c>
      <c r="B4" s="1" t="s">
        <v>14</v>
      </c>
      <c r="C4">
        <v>825</v>
      </c>
      <c r="D4">
        <v>1542</v>
      </c>
      <c r="E4" s="1">
        <v>1542</v>
      </c>
      <c r="F4" s="1">
        <v>1542</v>
      </c>
      <c r="G4">
        <v>108</v>
      </c>
      <c r="H4" s="1">
        <v>111</v>
      </c>
      <c r="I4" s="1">
        <v>111</v>
      </c>
      <c r="J4" s="1">
        <v>0</v>
      </c>
      <c r="K4">
        <v>50</v>
      </c>
      <c r="L4">
        <v>100</v>
      </c>
      <c r="Q4" s="1" t="b">
        <f>OR(D4&lt;E4, D4&lt;F4)</f>
        <v>0</v>
      </c>
      <c r="R4" s="1" t="b">
        <f>OR(G4&lt;H4, G4&lt;I4)</f>
        <v>1</v>
      </c>
      <c r="S4" s="1">
        <f>(D4 - E4) / E4</f>
        <v>0</v>
      </c>
      <c r="T4" s="1">
        <f>(D4 - F4) / F4</f>
        <v>0</v>
      </c>
      <c r="U4" s="1">
        <f>(G4 - H4) / H4</f>
        <v>-2.7027027027027029E-2</v>
      </c>
      <c r="V4" s="1">
        <f>(G4 - I4) / I4</f>
        <v>-2.7027027027027029E-2</v>
      </c>
      <c r="W4" s="1"/>
      <c r="X4" s="1"/>
      <c r="Y4" s="1"/>
      <c r="Z4" s="1"/>
      <c r="AA4" s="1"/>
      <c r="AB4" s="1"/>
      <c r="AC4" s="1"/>
      <c r="AD4" s="1"/>
    </row>
    <row r="5" spans="1:30" ht="26.25" thickBot="1" x14ac:dyDescent="0.3">
      <c r="A5" s="1">
        <v>5</v>
      </c>
      <c r="B5" s="1" t="s">
        <v>15</v>
      </c>
      <c r="C5">
        <v>474.5</v>
      </c>
      <c r="D5">
        <v>750</v>
      </c>
      <c r="E5" s="1">
        <v>1835</v>
      </c>
      <c r="F5" s="1">
        <v>1835</v>
      </c>
      <c r="G5">
        <v>199</v>
      </c>
      <c r="H5" s="1">
        <v>194</v>
      </c>
      <c r="I5" s="1">
        <v>194</v>
      </c>
      <c r="J5" s="1">
        <v>0</v>
      </c>
      <c r="K5">
        <v>50</v>
      </c>
      <c r="L5">
        <v>100</v>
      </c>
      <c r="Q5" s="1" t="b">
        <f>OR(D5&lt;E5, D5&lt;F5)</f>
        <v>1</v>
      </c>
      <c r="R5" s="1" t="b">
        <f>OR(G5&lt;H5, G5&lt;I5)</f>
        <v>0</v>
      </c>
      <c r="S5" s="1">
        <f>(D5 - E5) / E5</f>
        <v>-0.59128065395095364</v>
      </c>
      <c r="T5" s="1">
        <f>(D5 - F5) / F5</f>
        <v>-0.59128065395095364</v>
      </c>
      <c r="U5" s="1">
        <f>(G5 - H5) / H5</f>
        <v>2.5773195876288658E-2</v>
      </c>
      <c r="V5" s="1">
        <f>(G5 - I5) / I5</f>
        <v>2.5773195876288658E-2</v>
      </c>
      <c r="W5" s="1"/>
      <c r="X5" s="1"/>
      <c r="Y5" s="1"/>
      <c r="Z5" s="1"/>
      <c r="AA5" s="1"/>
      <c r="AB5" s="1"/>
      <c r="AC5" s="1"/>
      <c r="AD5" s="1"/>
    </row>
    <row r="6" spans="1:30" ht="26.25" thickBot="1" x14ac:dyDescent="0.3">
      <c r="A6" s="1">
        <v>5</v>
      </c>
      <c r="B6" s="1" t="s">
        <v>16</v>
      </c>
      <c r="C6">
        <v>1009</v>
      </c>
      <c r="D6">
        <v>1835</v>
      </c>
      <c r="E6" s="1">
        <v>750</v>
      </c>
      <c r="F6" s="1">
        <v>750</v>
      </c>
      <c r="G6">
        <v>183</v>
      </c>
      <c r="H6" s="1">
        <v>199</v>
      </c>
      <c r="I6" s="1">
        <v>199</v>
      </c>
      <c r="J6" s="1">
        <v>0</v>
      </c>
      <c r="K6">
        <v>50</v>
      </c>
      <c r="L6">
        <v>100</v>
      </c>
      <c r="Q6" s="1" t="b">
        <f>OR(D6&lt;E6, D6&lt;F6)</f>
        <v>0</v>
      </c>
      <c r="R6" s="1" t="b">
        <f>OR(G6&lt;H6, G6&lt;I6)</f>
        <v>1</v>
      </c>
      <c r="S6" s="1">
        <f>(D6 - E6) / E6</f>
        <v>1.4466666666666668</v>
      </c>
      <c r="T6" s="1">
        <f>(D6 - F6) / F6</f>
        <v>1.4466666666666668</v>
      </c>
      <c r="U6" s="1">
        <f>(G6 - H6) / H6</f>
        <v>-8.0402010050251257E-2</v>
      </c>
      <c r="V6" s="1">
        <f>(G6 - I6) / I6</f>
        <v>-8.0402010050251257E-2</v>
      </c>
      <c r="W6" s="1"/>
      <c r="X6" s="1"/>
      <c r="Y6" s="1"/>
      <c r="Z6" s="1"/>
      <c r="AA6" s="1"/>
      <c r="AB6" s="1"/>
      <c r="AC6" s="1"/>
      <c r="AD6" s="1"/>
    </row>
    <row r="7" spans="1:30" ht="26.25" thickBot="1" x14ac:dyDescent="0.3">
      <c r="A7" s="1">
        <v>5</v>
      </c>
      <c r="B7" s="1" t="s">
        <v>17</v>
      </c>
      <c r="C7">
        <v>1074.5</v>
      </c>
      <c r="D7">
        <v>1923</v>
      </c>
      <c r="E7" s="1">
        <v>1923</v>
      </c>
      <c r="F7" s="1">
        <v>1923</v>
      </c>
      <c r="G7">
        <v>226</v>
      </c>
      <c r="H7" s="1">
        <v>214</v>
      </c>
      <c r="I7" s="1">
        <v>214</v>
      </c>
      <c r="J7" s="1">
        <v>0</v>
      </c>
      <c r="K7">
        <v>50</v>
      </c>
      <c r="L7">
        <v>100</v>
      </c>
      <c r="Q7" s="1" t="b">
        <f>OR(D7&lt;E7, D7&lt;F7)</f>
        <v>0</v>
      </c>
      <c r="R7" s="1" t="b">
        <f>OR(G7&lt;H7, G7&lt;I7)</f>
        <v>0</v>
      </c>
      <c r="S7" s="1">
        <f>(D7 - E7) / E7</f>
        <v>0</v>
      </c>
      <c r="T7" s="1">
        <f>(D7 - F7) / F7</f>
        <v>0</v>
      </c>
      <c r="U7" s="1">
        <f>(G7 - H7) / H7</f>
        <v>5.6074766355140186E-2</v>
      </c>
      <c r="V7" s="1">
        <f>(G7 - I7) / I7</f>
        <v>5.6074766355140186E-2</v>
      </c>
      <c r="W7" s="1"/>
      <c r="X7" s="1"/>
      <c r="Y7" s="1"/>
      <c r="Z7" s="1"/>
      <c r="AA7" s="1"/>
      <c r="AB7" s="1"/>
      <c r="AC7" s="1"/>
      <c r="AD7" s="1"/>
    </row>
    <row r="8" spans="1:30" ht="26.25" thickBot="1" x14ac:dyDescent="0.3">
      <c r="A8" s="1">
        <v>6</v>
      </c>
      <c r="B8" s="1" t="s">
        <v>18</v>
      </c>
      <c r="C8">
        <v>673</v>
      </c>
      <c r="D8">
        <v>1166</v>
      </c>
      <c r="E8" s="1">
        <v>1166</v>
      </c>
      <c r="F8" s="1">
        <v>1166</v>
      </c>
      <c r="G8">
        <v>180</v>
      </c>
      <c r="H8" s="1">
        <v>192</v>
      </c>
      <c r="I8" s="1">
        <v>192</v>
      </c>
      <c r="J8" s="1">
        <v>0</v>
      </c>
      <c r="K8">
        <v>50</v>
      </c>
      <c r="L8">
        <v>100</v>
      </c>
      <c r="Q8" s="1" t="b">
        <f>OR(D8&lt;E8, D8&lt;F8)</f>
        <v>0</v>
      </c>
      <c r="R8" s="1" t="b">
        <f>OR(G8&lt;H8, G8&lt;I8)</f>
        <v>1</v>
      </c>
      <c r="S8" s="1">
        <f>(D8 - E8) / E8</f>
        <v>0</v>
      </c>
      <c r="T8" s="1">
        <f>(D8 - F8) / F8</f>
        <v>0</v>
      </c>
      <c r="U8" s="1">
        <f>(G8 - H8) / H8</f>
        <v>-6.25E-2</v>
      </c>
      <c r="V8" s="1">
        <f>(G8 - I8) / I8</f>
        <v>-6.25E-2</v>
      </c>
      <c r="W8" s="1"/>
      <c r="X8" s="1"/>
      <c r="Y8" s="1"/>
      <c r="Z8" s="1"/>
      <c r="AA8" s="1"/>
      <c r="AB8" s="1"/>
      <c r="AC8" s="1"/>
      <c r="AD8" s="1"/>
    </row>
    <row r="9" spans="1:30" ht="26.25" thickBot="1" x14ac:dyDescent="0.3">
      <c r="A9" s="1">
        <v>6</v>
      </c>
      <c r="B9" s="1" t="s">
        <v>19</v>
      </c>
      <c r="C9">
        <v>612.5</v>
      </c>
      <c r="D9">
        <v>1033</v>
      </c>
      <c r="E9" s="1">
        <v>1033</v>
      </c>
      <c r="F9" s="1">
        <v>1033</v>
      </c>
      <c r="G9">
        <v>192</v>
      </c>
      <c r="H9" s="1">
        <v>183</v>
      </c>
      <c r="I9" s="1">
        <v>183</v>
      </c>
      <c r="J9" s="1">
        <v>0</v>
      </c>
      <c r="K9">
        <v>50</v>
      </c>
      <c r="L9">
        <v>100</v>
      </c>
      <c r="Q9" s="1" t="b">
        <f>OR(D9&lt;E9, D9&lt;F9)</f>
        <v>0</v>
      </c>
      <c r="R9" s="1" t="b">
        <f>OR(G9&lt;H9, G9&lt;I9)</f>
        <v>0</v>
      </c>
      <c r="S9" s="1">
        <f>(D9 - E9) / E9</f>
        <v>0</v>
      </c>
      <c r="T9" s="1">
        <f>(D9 - F9) / F9</f>
        <v>0</v>
      </c>
      <c r="U9" s="1">
        <f>(G9 - H9) / H9</f>
        <v>4.9180327868852458E-2</v>
      </c>
      <c r="V9" s="1">
        <f>(G9 - I9) / I9</f>
        <v>4.9180327868852458E-2</v>
      </c>
      <c r="W9" s="1"/>
      <c r="X9" s="1"/>
      <c r="Y9" s="1"/>
      <c r="Z9" s="1"/>
      <c r="AA9" s="1"/>
      <c r="AB9" s="1"/>
      <c r="AC9" s="1"/>
      <c r="AD9" s="1"/>
    </row>
    <row r="10" spans="1:30" ht="26.25" thickBot="1" x14ac:dyDescent="0.3">
      <c r="A10" s="1">
        <v>6</v>
      </c>
      <c r="B10" s="1" t="s">
        <v>20</v>
      </c>
      <c r="C10">
        <v>868</v>
      </c>
      <c r="D10">
        <v>1440</v>
      </c>
      <c r="E10" s="1">
        <v>1440</v>
      </c>
      <c r="F10" s="1">
        <v>1440</v>
      </c>
      <c r="G10">
        <v>296</v>
      </c>
      <c r="H10" s="1">
        <v>160</v>
      </c>
      <c r="I10" s="1">
        <v>160</v>
      </c>
      <c r="J10" s="1">
        <v>0</v>
      </c>
      <c r="K10">
        <v>50</v>
      </c>
      <c r="L10">
        <v>100</v>
      </c>
      <c r="Q10" s="1" t="b">
        <f>OR(D10&lt;E10, D10&lt;F10)</f>
        <v>0</v>
      </c>
      <c r="R10" s="1" t="b">
        <f>OR(G10&lt;H10, G10&lt;I10)</f>
        <v>0</v>
      </c>
      <c r="S10" s="1">
        <f>(D10 - E10) / E10</f>
        <v>0</v>
      </c>
      <c r="T10" s="1">
        <f>(D10 - F10) / F10</f>
        <v>0</v>
      </c>
      <c r="U10" s="1">
        <f>(G10 - H10) / H10</f>
        <v>0.85</v>
      </c>
      <c r="V10" s="1">
        <f>(G10 - I10) / I10</f>
        <v>0.85</v>
      </c>
      <c r="W10" s="1"/>
      <c r="X10" s="1"/>
      <c r="Y10" s="1"/>
      <c r="Z10" s="1"/>
      <c r="AA10" s="1"/>
      <c r="AB10" s="1"/>
      <c r="AC10" s="1"/>
      <c r="AD10" s="1"/>
    </row>
    <row r="11" spans="1:30" ht="26.25" thickBot="1" x14ac:dyDescent="0.3">
      <c r="A11" s="1">
        <v>7</v>
      </c>
      <c r="B11" s="1" t="s">
        <v>21</v>
      </c>
      <c r="C11">
        <v>741.5</v>
      </c>
      <c r="D11">
        <v>1263</v>
      </c>
      <c r="E11" s="1">
        <v>1263</v>
      </c>
      <c r="F11" s="1">
        <v>1263</v>
      </c>
      <c r="G11">
        <v>220</v>
      </c>
      <c r="H11" s="1">
        <v>282</v>
      </c>
      <c r="I11" s="1">
        <v>287</v>
      </c>
      <c r="J11" s="1">
        <v>0</v>
      </c>
      <c r="K11">
        <v>50</v>
      </c>
      <c r="L11">
        <v>100</v>
      </c>
      <c r="Q11" s="1" t="b">
        <f>OR(D11&lt;E11, D11&lt;F11)</f>
        <v>0</v>
      </c>
      <c r="R11" s="1" t="b">
        <f>OR(G11&lt;H11, G11&lt;I11)</f>
        <v>1</v>
      </c>
      <c r="S11" s="1">
        <f>(D11 - E11) / E11</f>
        <v>0</v>
      </c>
      <c r="T11" s="1">
        <f>(D11 - F11) / F11</f>
        <v>0</v>
      </c>
      <c r="U11" s="1">
        <f>(G11 - H11) / H11</f>
        <v>-0.21985815602836881</v>
      </c>
      <c r="V11" s="1">
        <f>(G11 - I11) / I11</f>
        <v>-0.23344947735191637</v>
      </c>
      <c r="W11" s="1"/>
      <c r="X11" s="1"/>
      <c r="Y11" s="1"/>
      <c r="Z11" s="1"/>
      <c r="AA11" s="1"/>
      <c r="AB11" s="1"/>
      <c r="AC11" s="1"/>
      <c r="AD11" s="1"/>
    </row>
    <row r="12" spans="1:30" ht="26.25" thickBot="1" x14ac:dyDescent="0.3">
      <c r="A12" s="1">
        <v>7</v>
      </c>
      <c r="B12" s="1" t="s">
        <v>22</v>
      </c>
      <c r="C12">
        <v>1022.5</v>
      </c>
      <c r="D12">
        <v>1792</v>
      </c>
      <c r="E12" s="1">
        <v>1792</v>
      </c>
      <c r="F12" s="1">
        <v>1792</v>
      </c>
      <c r="G12">
        <v>253</v>
      </c>
      <c r="H12" s="1">
        <v>306</v>
      </c>
      <c r="I12" s="1">
        <v>306</v>
      </c>
      <c r="J12" s="1">
        <v>0</v>
      </c>
      <c r="K12">
        <v>50</v>
      </c>
      <c r="L12">
        <v>100</v>
      </c>
      <c r="Q12" s="1" t="b">
        <f>OR(D12&lt;E12, D12&lt;F12)</f>
        <v>0</v>
      </c>
      <c r="R12" s="1" t="b">
        <f>OR(G12&lt;H12, G12&lt;I12)</f>
        <v>1</v>
      </c>
      <c r="S12" s="1">
        <f>(D12 - E12) / E12</f>
        <v>0</v>
      </c>
      <c r="T12" s="1">
        <f>(D12 - F12) / F12</f>
        <v>0</v>
      </c>
      <c r="U12" s="1">
        <f>(G12 - H12) / H12</f>
        <v>-0.17320261437908496</v>
      </c>
      <c r="V12" s="1">
        <f>(G12 - I12) / I12</f>
        <v>-0.17320261437908496</v>
      </c>
      <c r="W12" s="1"/>
      <c r="X12" s="1"/>
      <c r="Y12" s="1"/>
      <c r="Z12" s="1"/>
      <c r="AA12" s="1"/>
      <c r="AB12" s="1"/>
      <c r="AC12" s="1"/>
      <c r="AD12" s="1"/>
    </row>
    <row r="13" spans="1:30" ht="26.25" thickBot="1" x14ac:dyDescent="0.3">
      <c r="A13" s="1">
        <v>7</v>
      </c>
      <c r="B13" s="1" t="s">
        <v>23</v>
      </c>
      <c r="C13">
        <v>1046.5</v>
      </c>
      <c r="D13">
        <v>1797</v>
      </c>
      <c r="E13" s="1">
        <v>1797</v>
      </c>
      <c r="F13" s="1">
        <v>1797</v>
      </c>
      <c r="G13">
        <v>296</v>
      </c>
      <c r="H13" s="1">
        <v>293</v>
      </c>
      <c r="I13" s="1">
        <v>293</v>
      </c>
      <c r="J13" s="1">
        <v>0</v>
      </c>
      <c r="K13">
        <v>50</v>
      </c>
      <c r="L13">
        <v>100</v>
      </c>
      <c r="Q13" s="1" t="b">
        <f>OR(D13&lt;E13, D13&lt;F13)</f>
        <v>0</v>
      </c>
      <c r="R13" s="1" t="b">
        <f>OR(G13&lt;H13, G13&lt;I13)</f>
        <v>0</v>
      </c>
      <c r="S13" s="1">
        <f>(D13 - E13) / E13</f>
        <v>0</v>
      </c>
      <c r="T13" s="1">
        <f>(D13 - F13) / F13</f>
        <v>0</v>
      </c>
      <c r="U13" s="1">
        <f>(G13 - H13) / H13</f>
        <v>1.0238907849829351E-2</v>
      </c>
      <c r="V13" s="1">
        <f>(G13 - I13) / I13</f>
        <v>1.0238907849829351E-2</v>
      </c>
      <c r="W13" s="1"/>
      <c r="X13" s="1"/>
      <c r="Y13" s="1"/>
      <c r="Z13" s="1"/>
      <c r="AA13" s="1"/>
      <c r="AB13" s="1"/>
      <c r="AC13" s="1"/>
      <c r="AD13" s="1"/>
    </row>
    <row r="14" spans="1:30" ht="26.25" thickBot="1" x14ac:dyDescent="0.3">
      <c r="A14" s="1">
        <v>8</v>
      </c>
      <c r="B14" s="1" t="s">
        <v>24</v>
      </c>
      <c r="C14">
        <v>1043.5</v>
      </c>
      <c r="D14">
        <v>1821</v>
      </c>
      <c r="E14" s="1">
        <v>1821</v>
      </c>
      <c r="F14" s="1">
        <v>1821</v>
      </c>
      <c r="G14">
        <v>266</v>
      </c>
      <c r="H14" s="1">
        <v>273</v>
      </c>
      <c r="I14" s="1">
        <v>273</v>
      </c>
      <c r="J14" s="1">
        <v>0</v>
      </c>
      <c r="K14">
        <v>50</v>
      </c>
      <c r="L14">
        <v>100</v>
      </c>
      <c r="Q14" s="1" t="b">
        <f>OR(D14&lt;E14, D14&lt;F14)</f>
        <v>0</v>
      </c>
      <c r="R14" s="1" t="b">
        <f>OR(G14&lt;H14, G14&lt;I14)</f>
        <v>1</v>
      </c>
      <c r="S14" s="1">
        <f>(D14 - E14) / E14</f>
        <v>0</v>
      </c>
      <c r="T14" s="1">
        <f>(D14 - F14) / F14</f>
        <v>0</v>
      </c>
      <c r="U14" s="1">
        <f>(G14 - H14) / H14</f>
        <v>-2.564102564102564E-2</v>
      </c>
      <c r="V14" s="1">
        <f>(G14 - I14) / I14</f>
        <v>-2.564102564102564E-2</v>
      </c>
      <c r="W14" s="1"/>
      <c r="X14" s="1"/>
      <c r="Y14" s="1"/>
      <c r="Z14" s="1"/>
      <c r="AA14" s="1"/>
      <c r="AB14" s="1"/>
      <c r="AC14" s="1"/>
      <c r="AD14" s="1"/>
    </row>
    <row r="15" spans="1:30" ht="26.25" thickBot="1" x14ac:dyDescent="0.3">
      <c r="A15" s="1">
        <v>8</v>
      </c>
      <c r="B15" s="1" t="s">
        <v>25</v>
      </c>
      <c r="C15">
        <v>1393</v>
      </c>
      <c r="D15">
        <v>2510</v>
      </c>
      <c r="E15" s="1">
        <v>2510</v>
      </c>
      <c r="F15" s="1">
        <v>2510</v>
      </c>
      <c r="G15">
        <v>276</v>
      </c>
      <c r="H15" s="1">
        <v>283</v>
      </c>
      <c r="I15" s="1">
        <v>283</v>
      </c>
      <c r="J15" s="1">
        <v>0</v>
      </c>
      <c r="K15">
        <v>50</v>
      </c>
      <c r="L15">
        <v>100</v>
      </c>
      <c r="Q15" s="1" t="b">
        <f>OR(D15&lt;E15, D15&lt;F15)</f>
        <v>0</v>
      </c>
      <c r="R15" s="1" t="b">
        <f>OR(G15&lt;H15, G15&lt;I15)</f>
        <v>1</v>
      </c>
      <c r="S15" s="1">
        <f>(D15 - E15) / E15</f>
        <v>0</v>
      </c>
      <c r="T15" s="1">
        <f>(D15 - F15) / F15</f>
        <v>0</v>
      </c>
      <c r="U15" s="1">
        <f>(G15 - H15) / H15</f>
        <v>-2.4734982332155476E-2</v>
      </c>
      <c r="V15" s="1">
        <f>(G15 - I15) / I15</f>
        <v>-2.4734982332155476E-2</v>
      </c>
      <c r="W15" s="1"/>
      <c r="X15" s="1"/>
      <c r="Y15" s="1"/>
      <c r="Z15" s="1"/>
      <c r="AA15" s="1"/>
      <c r="AB15" s="1"/>
      <c r="AC15" s="1"/>
      <c r="AD15" s="1"/>
    </row>
    <row r="16" spans="1:30" ht="26.25" thickBot="1" x14ac:dyDescent="0.3">
      <c r="A16" s="1">
        <v>8</v>
      </c>
      <c r="B16" s="1" t="s">
        <v>26</v>
      </c>
      <c r="C16">
        <v>1424.5</v>
      </c>
      <c r="D16">
        <v>2520</v>
      </c>
      <c r="E16" s="1">
        <v>2520</v>
      </c>
      <c r="F16" s="1">
        <v>2520</v>
      </c>
      <c r="G16">
        <v>329</v>
      </c>
      <c r="H16" s="1">
        <v>281</v>
      </c>
      <c r="I16" s="1">
        <v>281</v>
      </c>
      <c r="J16" s="1">
        <v>0</v>
      </c>
      <c r="K16">
        <v>50</v>
      </c>
      <c r="L16">
        <v>100</v>
      </c>
      <c r="Q16" s="1" t="b">
        <f>OR(D16&lt;E16, D16&lt;F16)</f>
        <v>0</v>
      </c>
      <c r="R16" s="1" t="b">
        <f>OR(G16&lt;H16, G16&lt;I16)</f>
        <v>0</v>
      </c>
      <c r="S16" s="1">
        <f>(D16 - E16) / E16</f>
        <v>0</v>
      </c>
      <c r="T16" s="1">
        <f>(D16 - F16) / F16</f>
        <v>0</v>
      </c>
      <c r="U16" s="1">
        <f>(G16 - H16) / H16</f>
        <v>0.1708185053380783</v>
      </c>
      <c r="V16" s="1">
        <f>(G16 - I16) / I16</f>
        <v>0.1708185053380783</v>
      </c>
      <c r="W16" s="1"/>
      <c r="X16" s="1"/>
      <c r="Y16" s="1"/>
      <c r="Z16" s="1"/>
      <c r="AA16" s="1"/>
      <c r="AB16" s="1"/>
      <c r="AC16" s="1"/>
      <c r="AD16" s="1"/>
    </row>
    <row r="17" spans="1:30" ht="26.25" thickBot="1" x14ac:dyDescent="0.3">
      <c r="A17" s="1">
        <v>9</v>
      </c>
      <c r="B17" s="1" t="s">
        <v>27</v>
      </c>
      <c r="C17">
        <v>600.5</v>
      </c>
      <c r="D17">
        <v>891</v>
      </c>
      <c r="E17" s="1">
        <v>891</v>
      </c>
      <c r="F17" s="1">
        <v>891</v>
      </c>
      <c r="G17">
        <v>310</v>
      </c>
      <c r="H17" s="1">
        <v>357</v>
      </c>
      <c r="I17" s="1">
        <v>360.2</v>
      </c>
      <c r="J17" s="1">
        <v>0</v>
      </c>
      <c r="K17">
        <v>50</v>
      </c>
      <c r="L17">
        <v>100</v>
      </c>
      <c r="Q17" s="1" t="b">
        <f>OR(D17&lt;E17, D17&lt;F17)</f>
        <v>0</v>
      </c>
      <c r="R17" s="1" t="b">
        <f>OR(G17&lt;H17, G17&lt;I17)</f>
        <v>1</v>
      </c>
      <c r="S17" s="1">
        <f>(D17 - E17) / E17</f>
        <v>0</v>
      </c>
      <c r="T17" s="1">
        <f>(D17 - F17) / F17</f>
        <v>0</v>
      </c>
      <c r="U17" s="1">
        <f>(G17 - H17) / H17</f>
        <v>-0.13165266106442577</v>
      </c>
      <c r="V17" s="1">
        <f>(G17 - I17) / I17</f>
        <v>-0.13936701832315376</v>
      </c>
      <c r="W17" s="1"/>
      <c r="X17" s="1"/>
      <c r="Y17" s="1"/>
      <c r="Z17" s="1"/>
      <c r="AA17" s="1"/>
      <c r="AB17" s="1"/>
      <c r="AC17" s="1"/>
      <c r="AD17" s="1"/>
    </row>
    <row r="18" spans="1:30" ht="26.25" thickBot="1" x14ac:dyDescent="0.3">
      <c r="A18" s="1">
        <v>9</v>
      </c>
      <c r="B18" s="1" t="s">
        <v>29</v>
      </c>
      <c r="C18">
        <v>997</v>
      </c>
      <c r="D18">
        <v>1650</v>
      </c>
      <c r="E18" s="1">
        <v>1650</v>
      </c>
      <c r="F18" s="1">
        <v>1650</v>
      </c>
      <c r="G18">
        <v>344</v>
      </c>
      <c r="H18" s="1">
        <v>355.8</v>
      </c>
      <c r="I18" s="1">
        <v>366</v>
      </c>
      <c r="J18" s="1">
        <v>0</v>
      </c>
      <c r="K18">
        <v>50</v>
      </c>
      <c r="L18">
        <v>100</v>
      </c>
      <c r="Q18" s="1" t="b">
        <f>OR(D18&lt;E18, D18&lt;F18)</f>
        <v>0</v>
      </c>
      <c r="R18" s="1" t="b">
        <f>OR(G18&lt;H18, G18&lt;I18)</f>
        <v>1</v>
      </c>
      <c r="S18" s="1">
        <f>(D18 - E18) / E18</f>
        <v>0</v>
      </c>
      <c r="T18" s="1">
        <f>(D18 - F18) / F18</f>
        <v>0</v>
      </c>
      <c r="U18" s="1">
        <f>(G18 - H18) / H18</f>
        <v>-3.3164699269252418E-2</v>
      </c>
      <c r="V18" s="1">
        <f>(G18 - I18) / I18</f>
        <v>-6.0109289617486336E-2</v>
      </c>
      <c r="W18" s="1"/>
      <c r="X18" s="1"/>
      <c r="Y18" s="1"/>
      <c r="Z18" s="1"/>
      <c r="AA18" s="1"/>
      <c r="AB18" s="1"/>
      <c r="AC18" s="1"/>
      <c r="AD18" s="1"/>
    </row>
    <row r="19" spans="1:30" ht="26.25" thickBot="1" x14ac:dyDescent="0.3">
      <c r="A19" s="1">
        <v>9</v>
      </c>
      <c r="B19" s="1" t="s">
        <v>31</v>
      </c>
      <c r="C19">
        <v>1340.5</v>
      </c>
      <c r="D19">
        <v>2331</v>
      </c>
      <c r="E19" s="1">
        <v>2331</v>
      </c>
      <c r="F19" s="1">
        <v>2331</v>
      </c>
      <c r="G19">
        <v>350</v>
      </c>
      <c r="H19" s="1">
        <v>372.8</v>
      </c>
      <c r="I19" s="1">
        <v>374.8</v>
      </c>
      <c r="J19" s="1">
        <v>0</v>
      </c>
      <c r="K19">
        <v>50</v>
      </c>
      <c r="L19">
        <v>100</v>
      </c>
      <c r="Q19" s="1" t="b">
        <f>OR(D19&lt;E19, D19&lt;F19)</f>
        <v>0</v>
      </c>
      <c r="R19" s="1" t="b">
        <f>OR(G19&lt;H19, G19&lt;I19)</f>
        <v>1</v>
      </c>
      <c r="S19" s="1">
        <f>(D19 - E19) / E19</f>
        <v>0</v>
      </c>
      <c r="T19" s="1">
        <f>(D19 - F19) / F19</f>
        <v>0</v>
      </c>
      <c r="U19" s="1">
        <f>(G19 - H19) / H19</f>
        <v>-6.1158798283261831E-2</v>
      </c>
      <c r="V19" s="1">
        <f>(G19 - I19) / I19</f>
        <v>-6.6168623265741758E-2</v>
      </c>
      <c r="W19" s="1"/>
      <c r="X19" s="1"/>
      <c r="Y19" s="1"/>
      <c r="Z19" s="1"/>
      <c r="AA19" s="1"/>
      <c r="AB19" s="1"/>
      <c r="AC19" s="1"/>
      <c r="AD19" s="1"/>
    </row>
    <row r="20" spans="1:30" ht="26.25" thickBot="1" x14ac:dyDescent="0.3">
      <c r="A20" s="1">
        <v>10</v>
      </c>
      <c r="B20" s="1" t="s">
        <v>34</v>
      </c>
      <c r="C20">
        <v>966.5</v>
      </c>
      <c r="D20">
        <v>1588</v>
      </c>
      <c r="E20" s="1">
        <v>1588</v>
      </c>
      <c r="F20" s="1">
        <v>1588</v>
      </c>
      <c r="G20">
        <v>345</v>
      </c>
      <c r="H20" s="1">
        <v>431</v>
      </c>
      <c r="I20" s="1">
        <v>436</v>
      </c>
      <c r="J20" s="1">
        <v>0</v>
      </c>
      <c r="K20">
        <v>50</v>
      </c>
      <c r="L20">
        <v>100</v>
      </c>
      <c r="Q20" s="1" t="b">
        <f>OR(D20&lt;E20, D20&lt;F20)</f>
        <v>0</v>
      </c>
      <c r="R20" s="1" t="b">
        <f>OR(G20&lt;H20, G20&lt;I20)</f>
        <v>1</v>
      </c>
      <c r="S20" s="1">
        <f>(D20 - E20) / E20</f>
        <v>0</v>
      </c>
      <c r="T20" s="1">
        <f>(D20 - F20) / F20</f>
        <v>0</v>
      </c>
      <c r="U20" s="1">
        <f>(G20 - H20) / H20</f>
        <v>-0.19953596287703015</v>
      </c>
      <c r="V20" s="1">
        <f>(G20 - I20) / I20</f>
        <v>-0.20871559633027523</v>
      </c>
      <c r="W20" s="1"/>
      <c r="X20" s="1"/>
      <c r="Y20" s="1"/>
      <c r="Z20" s="1"/>
      <c r="AA20" s="1"/>
      <c r="AB20" s="1"/>
      <c r="AC20" s="1"/>
      <c r="AD20" s="1"/>
    </row>
    <row r="21" spans="1:30" ht="26.25" thickBot="1" x14ac:dyDescent="0.3">
      <c r="A21" s="1">
        <v>10</v>
      </c>
      <c r="B21" s="1" t="s">
        <v>35</v>
      </c>
      <c r="C21">
        <v>1237.5</v>
      </c>
      <c r="D21">
        <v>2098</v>
      </c>
      <c r="E21" s="1">
        <v>2098</v>
      </c>
      <c r="F21" s="1">
        <v>2098</v>
      </c>
      <c r="G21">
        <v>377</v>
      </c>
      <c r="H21" s="1">
        <v>392</v>
      </c>
      <c r="I21" s="1">
        <v>394.2</v>
      </c>
      <c r="J21" s="1">
        <v>0</v>
      </c>
      <c r="K21">
        <v>50</v>
      </c>
      <c r="L21">
        <v>100</v>
      </c>
      <c r="Q21" s="1" t="b">
        <f>OR(D21&lt;E21, D21&lt;F21)</f>
        <v>0</v>
      </c>
      <c r="R21" s="1" t="b">
        <f>OR(G21&lt;H21, G21&lt;I21)</f>
        <v>1</v>
      </c>
      <c r="S21" s="1">
        <f>(D21 - E21) / E21</f>
        <v>0</v>
      </c>
      <c r="T21" s="1">
        <f>(D21 - F21) / F21</f>
        <v>0</v>
      </c>
      <c r="U21" s="1">
        <f>(G21 - H21) / H21</f>
        <v>-3.826530612244898E-2</v>
      </c>
      <c r="V21" s="1">
        <f>(G21 - I21) / I21</f>
        <v>-4.3632673769660041E-2</v>
      </c>
      <c r="W21" s="1"/>
      <c r="X21" s="1"/>
      <c r="Y21" s="1"/>
      <c r="Z21" s="1"/>
      <c r="AA21" s="1"/>
      <c r="AB21" s="1"/>
      <c r="AC21" s="1"/>
      <c r="AD21" s="1"/>
    </row>
    <row r="22" spans="1:30" ht="26.25" thickBot="1" x14ac:dyDescent="0.3">
      <c r="A22" s="1">
        <v>10</v>
      </c>
      <c r="B22" s="1" t="s">
        <v>37</v>
      </c>
      <c r="C22">
        <v>1748</v>
      </c>
      <c r="D22">
        <v>3102</v>
      </c>
      <c r="E22" s="1">
        <v>3102</v>
      </c>
      <c r="F22" s="1">
        <v>3102</v>
      </c>
      <c r="G22">
        <v>394</v>
      </c>
      <c r="H22" s="1">
        <v>422.6</v>
      </c>
      <c r="I22" s="1">
        <v>425.6</v>
      </c>
      <c r="J22" s="1">
        <v>1</v>
      </c>
      <c r="K22">
        <v>50</v>
      </c>
      <c r="L22">
        <v>100</v>
      </c>
      <c r="Q22" s="1" t="b">
        <f>OR(D22&lt;E22, D22&lt;F22)</f>
        <v>0</v>
      </c>
      <c r="R22" s="1" t="b">
        <f>OR(G22&lt;H22, G22&lt;I22)</f>
        <v>1</v>
      </c>
      <c r="S22" s="1">
        <f>(D22 - E22) / E22</f>
        <v>0</v>
      </c>
      <c r="T22" s="1">
        <f>(D22 - F22) / F22</f>
        <v>0</v>
      </c>
      <c r="U22" s="1">
        <f>(G22 - H22) / H22</f>
        <v>-6.7676289635589262E-2</v>
      </c>
      <c r="V22" s="1">
        <f>(G22 - I22) / I22</f>
        <v>-7.4248120300751924E-2</v>
      </c>
      <c r="W22" s="1"/>
      <c r="X22" s="1"/>
      <c r="Y22" s="1"/>
      <c r="Z22" s="1"/>
      <c r="AA22" s="1"/>
      <c r="AB22" s="1"/>
      <c r="AC22" s="1"/>
      <c r="AD22" s="1"/>
    </row>
    <row r="23" spans="1:30" ht="26.25" thickBot="1" x14ac:dyDescent="0.3">
      <c r="A23" s="1">
        <v>11</v>
      </c>
      <c r="B23" s="1" t="s">
        <v>40</v>
      </c>
      <c r="C23">
        <v>797.5</v>
      </c>
      <c r="D23">
        <v>1276</v>
      </c>
      <c r="E23" s="1">
        <v>1276</v>
      </c>
      <c r="F23" s="1">
        <v>1276</v>
      </c>
      <c r="G23">
        <v>319</v>
      </c>
      <c r="H23" s="1">
        <v>406</v>
      </c>
      <c r="I23" s="1">
        <v>406</v>
      </c>
      <c r="J23" s="1">
        <v>0</v>
      </c>
      <c r="K23">
        <v>50</v>
      </c>
      <c r="L23">
        <v>100</v>
      </c>
      <c r="Q23" s="1" t="b">
        <f>OR(D23&lt;E23, D23&lt;F23)</f>
        <v>0</v>
      </c>
      <c r="R23" s="1" t="b">
        <f>OR(G23&lt;H23, G23&lt;I23)</f>
        <v>1</v>
      </c>
      <c r="S23" s="1">
        <f>(D23 - E23) / E23</f>
        <v>0</v>
      </c>
      <c r="T23" s="1">
        <f>(D23 - F23) / F23</f>
        <v>0</v>
      </c>
      <c r="U23" s="1">
        <f>(G23 - H23) / H23</f>
        <v>-0.21428571428571427</v>
      </c>
      <c r="V23" s="1">
        <f>(G23 - I23) / I23</f>
        <v>-0.21428571428571427</v>
      </c>
      <c r="W23" s="1"/>
      <c r="X23" s="1"/>
      <c r="Y23" s="1"/>
      <c r="Z23" s="1"/>
      <c r="AA23" s="1"/>
      <c r="AB23" s="1"/>
      <c r="AC23" s="1"/>
      <c r="AD23" s="1"/>
    </row>
    <row r="24" spans="1:30" ht="26.25" thickBot="1" x14ac:dyDescent="0.3">
      <c r="A24" s="1">
        <v>11</v>
      </c>
      <c r="B24" s="1" t="s">
        <v>41</v>
      </c>
      <c r="C24">
        <v>1129</v>
      </c>
      <c r="D24">
        <v>1876</v>
      </c>
      <c r="E24" s="1">
        <v>1876</v>
      </c>
      <c r="F24" s="1">
        <v>1876</v>
      </c>
      <c r="G24">
        <v>382</v>
      </c>
      <c r="H24" s="1">
        <v>400</v>
      </c>
      <c r="I24" s="1">
        <v>406.2</v>
      </c>
      <c r="J24" s="1">
        <v>0</v>
      </c>
      <c r="K24">
        <v>50</v>
      </c>
      <c r="L24">
        <v>100</v>
      </c>
      <c r="Q24" s="1" t="b">
        <f>OR(D24&lt;E24, D24&lt;F24)</f>
        <v>0</v>
      </c>
      <c r="R24" s="1" t="b">
        <f>OR(G24&lt;H24, G24&lt;I24)</f>
        <v>1</v>
      </c>
      <c r="S24" s="1">
        <f>(D24 - E24) / E24</f>
        <v>0</v>
      </c>
      <c r="T24" s="1">
        <f>(D24 - F24) / F24</f>
        <v>0</v>
      </c>
      <c r="U24" s="1">
        <f>(G24 - H24) / H24</f>
        <v>-4.4999999999999998E-2</v>
      </c>
      <c r="V24" s="1">
        <f>(G24 - I24) / I24</f>
        <v>-5.9576563269325429E-2</v>
      </c>
      <c r="W24" s="1"/>
      <c r="X24" s="1"/>
      <c r="Y24" s="1"/>
      <c r="Z24" s="1"/>
      <c r="AA24" s="1"/>
      <c r="AB24" s="1"/>
      <c r="AC24" s="1"/>
      <c r="AD24" s="1"/>
    </row>
    <row r="25" spans="1:30" ht="26.25" thickBot="1" x14ac:dyDescent="0.3">
      <c r="A25" s="1">
        <v>11</v>
      </c>
      <c r="B25" s="1" t="s">
        <v>43</v>
      </c>
      <c r="C25">
        <v>1221.5</v>
      </c>
      <c r="D25">
        <v>2042</v>
      </c>
      <c r="E25" s="1">
        <v>3699</v>
      </c>
      <c r="F25" s="1">
        <v>3699</v>
      </c>
      <c r="G25">
        <v>401</v>
      </c>
      <c r="H25" s="1">
        <v>495</v>
      </c>
      <c r="I25" s="1">
        <v>498.6</v>
      </c>
      <c r="J25" s="1">
        <v>0</v>
      </c>
      <c r="K25">
        <v>50</v>
      </c>
      <c r="L25">
        <v>100</v>
      </c>
      <c r="Q25" s="1" t="b">
        <f>OR(D25&lt;E25, D25&lt;F25)</f>
        <v>1</v>
      </c>
      <c r="R25" s="1" t="b">
        <f>OR(G25&lt;H25, G25&lt;I25)</f>
        <v>1</v>
      </c>
      <c r="S25" s="1">
        <f>(D25 - E25) / E25</f>
        <v>-0.44795890781292241</v>
      </c>
      <c r="T25" s="1">
        <f>(D25 - F25) / F25</f>
        <v>-0.44795890781292241</v>
      </c>
      <c r="U25" s="1">
        <f>(G25 - H25) / H25</f>
        <v>-0.1898989898989899</v>
      </c>
      <c r="V25" s="1">
        <f>(G25 - I25) / I25</f>
        <v>-0.19574809466506221</v>
      </c>
      <c r="W25" s="1"/>
      <c r="X25" s="1"/>
      <c r="Y25" s="1"/>
      <c r="Z25" s="1"/>
      <c r="AA25" s="1"/>
      <c r="AB25" s="1"/>
      <c r="AC25" s="1"/>
      <c r="AD25" s="1"/>
    </row>
    <row r="26" spans="1:30" ht="26.25" thickBot="1" x14ac:dyDescent="0.3">
      <c r="A26" s="1">
        <v>12</v>
      </c>
      <c r="B26" s="1" t="s">
        <v>44</v>
      </c>
      <c r="C26">
        <v>1223.5</v>
      </c>
      <c r="D26">
        <v>2035</v>
      </c>
      <c r="E26" s="1">
        <v>2035</v>
      </c>
      <c r="F26" s="1">
        <v>2035</v>
      </c>
      <c r="G26">
        <v>412</v>
      </c>
      <c r="H26" s="1">
        <v>494</v>
      </c>
      <c r="I26" s="1">
        <v>495</v>
      </c>
      <c r="J26" s="1">
        <v>0</v>
      </c>
      <c r="K26">
        <v>50</v>
      </c>
      <c r="L26">
        <v>100</v>
      </c>
      <c r="Q26" s="1" t="b">
        <f>OR(D26&lt;E26, D26&lt;F26)</f>
        <v>0</v>
      </c>
      <c r="R26" s="1" t="b">
        <f>OR(G26&lt;H26, G26&lt;I26)</f>
        <v>1</v>
      </c>
      <c r="S26" s="1">
        <f>(D26 - E26) / E26</f>
        <v>0</v>
      </c>
      <c r="T26" s="1">
        <f>(D26 - F26) / F26</f>
        <v>0</v>
      </c>
      <c r="U26" s="1">
        <f>(G26 - H26) / H26</f>
        <v>-0.16599190283400811</v>
      </c>
      <c r="V26" s="1">
        <f>(G26 - I26) / I26</f>
        <v>-0.16767676767676767</v>
      </c>
      <c r="W26" s="1"/>
      <c r="X26" s="1"/>
      <c r="Y26" s="1"/>
      <c r="Z26" s="1"/>
      <c r="AA26" s="1"/>
      <c r="AB26" s="1"/>
      <c r="AC26" s="1"/>
      <c r="AD26" s="1"/>
    </row>
    <row r="27" spans="1:30" ht="26.25" thickBot="1" x14ac:dyDescent="0.3">
      <c r="A27" s="1">
        <v>12</v>
      </c>
      <c r="B27" s="1" t="s">
        <v>45</v>
      </c>
      <c r="C27">
        <v>1566.5</v>
      </c>
      <c r="D27">
        <v>2688</v>
      </c>
      <c r="E27" s="1">
        <v>2688</v>
      </c>
      <c r="F27" s="1">
        <v>2688</v>
      </c>
      <c r="G27">
        <v>445</v>
      </c>
      <c r="H27" s="1">
        <v>499</v>
      </c>
      <c r="I27" s="1">
        <v>499</v>
      </c>
      <c r="J27" s="1">
        <v>0</v>
      </c>
      <c r="K27">
        <v>50</v>
      </c>
      <c r="L27">
        <v>100</v>
      </c>
      <c r="Q27" s="1" t="b">
        <f>OR(D27&lt;E27, D27&lt;F27)</f>
        <v>0</v>
      </c>
      <c r="R27" s="1" t="b">
        <f>OR(G27&lt;H27, G27&lt;I27)</f>
        <v>1</v>
      </c>
      <c r="S27" s="1">
        <f>(D27 - E27) / E27</f>
        <v>0</v>
      </c>
      <c r="T27" s="1">
        <f>(D27 - F27) / F27</f>
        <v>0</v>
      </c>
      <c r="U27" s="1">
        <f>(G27 - H27) / H27</f>
        <v>-0.10821643286573146</v>
      </c>
      <c r="V27" s="1">
        <f>(G27 - I27) / I27</f>
        <v>-0.10821643286573146</v>
      </c>
      <c r="W27" s="1"/>
      <c r="X27" s="1"/>
      <c r="Y27" s="1"/>
      <c r="Z27" s="1"/>
      <c r="AA27" s="1"/>
      <c r="AB27" s="1"/>
      <c r="AC27" s="1"/>
      <c r="AD27" s="1"/>
    </row>
    <row r="28" spans="1:30" ht="26.25" thickBot="1" x14ac:dyDescent="0.3">
      <c r="A28" s="1">
        <v>12</v>
      </c>
      <c r="B28" s="1" t="s">
        <v>46</v>
      </c>
      <c r="C28">
        <v>2497</v>
      </c>
      <c r="D28">
        <v>4387</v>
      </c>
      <c r="E28" s="1">
        <v>3699</v>
      </c>
      <c r="F28" s="1">
        <v>3699</v>
      </c>
      <c r="G28">
        <v>607</v>
      </c>
      <c r="H28" s="1">
        <v>495</v>
      </c>
      <c r="I28" s="1">
        <v>498.6</v>
      </c>
      <c r="J28" s="1">
        <v>0</v>
      </c>
      <c r="K28">
        <v>50</v>
      </c>
      <c r="L28">
        <v>100</v>
      </c>
      <c r="Q28" s="1" t="b">
        <f>OR(D28&lt;E28, D28&lt;F28)</f>
        <v>0</v>
      </c>
      <c r="R28" s="1" t="b">
        <f>OR(G28&lt;H28, G28&lt;I28)</f>
        <v>0</v>
      </c>
      <c r="S28" s="1">
        <f>(D28 - E28) / E28</f>
        <v>0.18599621519329548</v>
      </c>
      <c r="T28" s="1">
        <f>(D28 - F28) / F28</f>
        <v>0.18599621519329548</v>
      </c>
      <c r="U28" s="1">
        <f>(G28 - H28) / H28</f>
        <v>0.22626262626262628</v>
      </c>
      <c r="V28" s="1">
        <f>(G28 - I28) / I28</f>
        <v>0.21740874448455672</v>
      </c>
      <c r="W28" s="1"/>
      <c r="X28" s="1"/>
      <c r="Y28" s="1"/>
      <c r="Z28" s="1"/>
      <c r="AA28" s="1"/>
      <c r="AB28" s="1"/>
      <c r="AC28" s="1"/>
      <c r="AD28" s="1"/>
    </row>
    <row r="29" spans="1:30" ht="26.25" thickBot="1" x14ac:dyDescent="0.3">
      <c r="A29" s="1">
        <v>20</v>
      </c>
      <c r="B29" s="1" t="s">
        <v>47</v>
      </c>
      <c r="C29">
        <v>5332.5</v>
      </c>
      <c r="D29">
        <v>9595</v>
      </c>
      <c r="E29" s="1">
        <v>7338</v>
      </c>
      <c r="F29" s="1">
        <v>7338</v>
      </c>
      <c r="G29">
        <v>1070</v>
      </c>
      <c r="H29" s="1">
        <v>801.2</v>
      </c>
      <c r="I29" s="1">
        <v>776</v>
      </c>
      <c r="J29" s="1">
        <v>1</v>
      </c>
      <c r="K29">
        <v>50</v>
      </c>
      <c r="L29">
        <v>100</v>
      </c>
      <c r="Q29" s="1" t="b">
        <f>OR(D29&lt;E29, D29&lt;F29)</f>
        <v>0</v>
      </c>
      <c r="R29" s="1" t="b">
        <f>OR(G29&lt;H29, G29&lt;I29)</f>
        <v>0</v>
      </c>
      <c r="S29" s="1">
        <f>(D29 - E29) / E29</f>
        <v>0.3075769964568002</v>
      </c>
      <c r="T29" s="1">
        <f>(D29 - F29) / F29</f>
        <v>0.3075769964568002</v>
      </c>
      <c r="U29" s="1">
        <f>(G29 - H29) / H29</f>
        <v>0.33549675486769837</v>
      </c>
      <c r="V29" s="1">
        <f>(G29 - I29) / I29</f>
        <v>0.37886597938144329</v>
      </c>
      <c r="W29" s="1"/>
      <c r="X29" s="1"/>
      <c r="Y29" s="1"/>
      <c r="Z29" s="1"/>
      <c r="AA29" s="1"/>
      <c r="AB29" s="1"/>
      <c r="AC29" s="1"/>
      <c r="AD29" s="1"/>
    </row>
    <row r="30" spans="1:30" ht="26.25" thickBot="1" x14ac:dyDescent="0.3">
      <c r="A30" s="1">
        <v>20</v>
      </c>
      <c r="B30" s="1" t="s">
        <v>48</v>
      </c>
      <c r="C30">
        <v>2880.5</v>
      </c>
      <c r="D30">
        <v>5001</v>
      </c>
      <c r="E30" s="1">
        <v>5001</v>
      </c>
      <c r="F30" s="1">
        <v>5001</v>
      </c>
      <c r="G30">
        <v>760</v>
      </c>
      <c r="H30" s="1">
        <v>772.6</v>
      </c>
      <c r="I30" s="1">
        <v>750</v>
      </c>
      <c r="J30" s="1">
        <v>1</v>
      </c>
      <c r="K30">
        <v>50</v>
      </c>
      <c r="L30">
        <v>100</v>
      </c>
      <c r="Q30" s="1" t="b">
        <f>OR(D30&lt;E30, D30&lt;F30)</f>
        <v>0</v>
      </c>
      <c r="R30" s="1" t="b">
        <f>OR(G30&lt;H30, G30&lt;I30)</f>
        <v>1</v>
      </c>
      <c r="S30" s="1">
        <f>(D30 - E30) / E30</f>
        <v>0</v>
      </c>
      <c r="T30" s="1">
        <f>(D30 - F30) / F30</f>
        <v>0</v>
      </c>
      <c r="U30" s="1">
        <f>(G30 - H30) / H30</f>
        <v>-1.6308568470100988E-2</v>
      </c>
      <c r="V30" s="1">
        <f>(G30 - I30) / I30</f>
        <v>1.3333333333333334E-2</v>
      </c>
      <c r="W30" s="1"/>
      <c r="X30" s="1"/>
      <c r="Y30" s="1"/>
      <c r="Z30" s="1"/>
      <c r="AA30" s="1"/>
      <c r="AB30" s="1"/>
      <c r="AC30" s="1"/>
      <c r="AD30" s="1"/>
    </row>
    <row r="31" spans="1:30" ht="26.25" thickBot="1" x14ac:dyDescent="0.3">
      <c r="A31" s="1">
        <v>30</v>
      </c>
      <c r="B31" s="1" t="s">
        <v>49</v>
      </c>
      <c r="C31">
        <v>3805</v>
      </c>
      <c r="D31">
        <v>6401</v>
      </c>
      <c r="E31" s="1">
        <v>6401</v>
      </c>
      <c r="F31" s="1">
        <v>6401</v>
      </c>
      <c r="G31">
        <v>1209</v>
      </c>
      <c r="H31" s="1">
        <v>1284.8</v>
      </c>
      <c r="I31" s="1">
        <v>1201</v>
      </c>
      <c r="J31" s="1">
        <v>1</v>
      </c>
      <c r="K31">
        <v>50</v>
      </c>
      <c r="L31">
        <v>100</v>
      </c>
      <c r="Q31" s="1" t="b">
        <f>OR(D31&lt;E31, D31&lt;F31)</f>
        <v>0</v>
      </c>
      <c r="R31" s="1" t="b">
        <f>OR(G31&lt;H31, G31&lt;I31)</f>
        <v>1</v>
      </c>
      <c r="S31" s="1">
        <f>(D31 - E31) / E31</f>
        <v>0</v>
      </c>
      <c r="T31" s="1">
        <f>(D31 - F31) / F31</f>
        <v>0</v>
      </c>
      <c r="U31" s="1">
        <f>(G31 - H31) / H31</f>
        <v>-5.8997509339975059E-2</v>
      </c>
      <c r="V31" s="1">
        <f>(G31 - I31) / I31</f>
        <v>6.6611157368859286E-3</v>
      </c>
      <c r="W31" s="1"/>
      <c r="X31" s="1"/>
      <c r="Y31" s="1"/>
      <c r="Z31" s="1"/>
      <c r="AA31" s="1"/>
      <c r="AB31" s="1"/>
      <c r="AC31" s="1"/>
      <c r="AD31" s="1"/>
    </row>
    <row r="32" spans="1:30" ht="26.25" thickBot="1" x14ac:dyDescent="0.3">
      <c r="A32" s="1">
        <v>30</v>
      </c>
      <c r="B32" s="1" t="s">
        <v>50</v>
      </c>
      <c r="C32">
        <v>5316.5</v>
      </c>
      <c r="D32">
        <v>9529</v>
      </c>
      <c r="E32" s="1">
        <v>9529</v>
      </c>
      <c r="F32" s="1">
        <v>9529</v>
      </c>
      <c r="G32">
        <v>1104</v>
      </c>
      <c r="H32" s="1">
        <v>1220.4000000000001</v>
      </c>
      <c r="I32" s="1">
        <v>1182</v>
      </c>
      <c r="J32" s="1">
        <v>1</v>
      </c>
      <c r="K32">
        <v>50</v>
      </c>
      <c r="L32">
        <v>100</v>
      </c>
      <c r="Q32" s="1" t="b">
        <f>OR(D32&lt;E32, D32&lt;F32)</f>
        <v>0</v>
      </c>
      <c r="R32" s="1" t="b">
        <f>OR(G32&lt;H32, G32&lt;I32)</f>
        <v>1</v>
      </c>
      <c r="S32" s="1">
        <f>(D32 - E32) / E32</f>
        <v>0</v>
      </c>
      <c r="T32" s="1">
        <f>(D32 - F32) / F32</f>
        <v>0</v>
      </c>
      <c r="U32" s="1">
        <f>(G32 - H32) / H32</f>
        <v>-9.537856440511315E-2</v>
      </c>
      <c r="V32" s="1">
        <f>(G32 - I32) / I32</f>
        <v>-6.5989847715736044E-2</v>
      </c>
      <c r="W32" s="1"/>
      <c r="X32" s="1"/>
      <c r="Y32" s="1"/>
      <c r="Z32" s="1"/>
      <c r="AA32" s="1"/>
      <c r="AB32" s="1"/>
      <c r="AC32" s="1"/>
      <c r="AD32" s="1"/>
    </row>
    <row r="33" spans="1:30" ht="26.25" thickBot="1" x14ac:dyDescent="0.3">
      <c r="A33" s="1">
        <v>30</v>
      </c>
      <c r="B33" s="1" t="s">
        <v>52</v>
      </c>
      <c r="C33">
        <v>3165.5</v>
      </c>
      <c r="D33">
        <v>5081</v>
      </c>
      <c r="E33" s="1">
        <v>5081</v>
      </c>
      <c r="F33" s="1">
        <v>5081</v>
      </c>
      <c r="G33">
        <v>1250</v>
      </c>
      <c r="H33" s="1">
        <v>1279.8</v>
      </c>
      <c r="I33" s="1">
        <v>1216</v>
      </c>
      <c r="J33" s="1">
        <v>1</v>
      </c>
      <c r="K33">
        <v>50</v>
      </c>
      <c r="L33">
        <v>100</v>
      </c>
      <c r="Q33" s="1" t="b">
        <f>OR(D33&lt;E33, D33&lt;F33)</f>
        <v>0</v>
      </c>
      <c r="R33" s="1" t="b">
        <f>OR(G33&lt;H33, G33&lt;I33)</f>
        <v>1</v>
      </c>
      <c r="S33" s="1">
        <f>(D33 - E33) / E33</f>
        <v>0</v>
      </c>
      <c r="T33" s="1">
        <f>(D33 - F33) / F33</f>
        <v>0</v>
      </c>
      <c r="U33" s="1">
        <f>(G33 - H33) / H33</f>
        <v>-2.3284888263791183E-2</v>
      </c>
      <c r="V33" s="1">
        <f>(G33 - I33) / I33</f>
        <v>2.7960526315789474E-2</v>
      </c>
      <c r="W33" s="1"/>
      <c r="X33" s="1"/>
      <c r="Y33" s="1"/>
      <c r="Z33" s="1"/>
      <c r="AA33" s="1"/>
      <c r="AB33" s="1"/>
      <c r="AC33" s="1"/>
      <c r="AD33" s="1"/>
    </row>
    <row r="34" spans="1:30" ht="15.75" thickBot="1" x14ac:dyDescent="0.3">
      <c r="A34" s="1"/>
      <c r="B34" s="1"/>
      <c r="E34" s="1"/>
      <c r="F34" s="1"/>
      <c r="H34" s="1"/>
      <c r="I34" s="1"/>
      <c r="J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ht="15.75" thickBot="1" x14ac:dyDescent="0.3">
      <c r="A35" s="1"/>
      <c r="B35" s="1"/>
      <c r="E35" s="1"/>
      <c r="F35" s="1"/>
      <c r="H35" s="1"/>
      <c r="I35" s="1"/>
      <c r="J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ht="15.75" thickBot="1" x14ac:dyDescent="0.3">
      <c r="A36" s="1"/>
      <c r="B36" s="1"/>
      <c r="E36" s="1"/>
      <c r="F36" s="1"/>
      <c r="H36" s="1"/>
      <c r="I36" s="1"/>
      <c r="J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ht="15.75" thickBot="1" x14ac:dyDescent="0.3">
      <c r="A37" s="1"/>
      <c r="B37" s="1"/>
      <c r="E37" s="1"/>
      <c r="F37" s="1"/>
      <c r="H37" s="1"/>
      <c r="I37" s="1"/>
      <c r="J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ht="15.75" thickBot="1" x14ac:dyDescent="0.3">
      <c r="A38" s="1"/>
      <c r="B38" s="1"/>
      <c r="E38" s="1"/>
      <c r="F38" s="1"/>
      <c r="H38" s="1"/>
      <c r="I38" s="1"/>
      <c r="J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ht="15.75" thickBot="1" x14ac:dyDescent="0.3">
      <c r="A39" s="1"/>
      <c r="B39" s="1"/>
      <c r="E39" s="1">
        <v>9529</v>
      </c>
      <c r="F39" s="1">
        <v>9529</v>
      </c>
      <c r="H39" s="1" t="s">
        <v>51</v>
      </c>
      <c r="I39" s="1">
        <v>1182</v>
      </c>
      <c r="J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ht="15.75" thickBot="1" x14ac:dyDescent="0.3">
      <c r="A40" s="1"/>
      <c r="B40" s="1"/>
      <c r="E40" s="1"/>
      <c r="F40" s="1"/>
      <c r="H40" s="1"/>
      <c r="I40" s="1"/>
      <c r="J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ht="15.75" thickBot="1" x14ac:dyDescent="0.3">
      <c r="A41" s="1"/>
      <c r="B41" s="1"/>
      <c r="E41" s="1"/>
      <c r="F41" s="1"/>
      <c r="H41" s="1"/>
      <c r="I41" s="1"/>
      <c r="J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ht="15.75" thickBot="1" x14ac:dyDescent="0.3">
      <c r="A42" s="1"/>
      <c r="B42" s="1"/>
      <c r="E42" s="1"/>
      <c r="F42" s="1"/>
      <c r="H42" s="1"/>
      <c r="I42" s="1"/>
      <c r="J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ht="15.75" thickBot="1" x14ac:dyDescent="0.3">
      <c r="A43" s="1"/>
      <c r="B43" s="1"/>
      <c r="E43" s="1"/>
      <c r="F43" s="1"/>
      <c r="H43" s="1"/>
      <c r="I43" s="1"/>
      <c r="J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ht="15.75" thickBot="1" x14ac:dyDescent="0.3">
      <c r="A44" s="1"/>
      <c r="B44" s="1"/>
      <c r="E44" s="1"/>
      <c r="F44" s="1"/>
      <c r="H44" s="1"/>
      <c r="I44" s="1"/>
      <c r="J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ht="15.75" thickBot="1" x14ac:dyDescent="0.3">
      <c r="A45" s="1"/>
      <c r="B45" s="1"/>
      <c r="E45" s="1"/>
      <c r="F45" s="1"/>
      <c r="H45" s="1"/>
      <c r="I45" s="1"/>
      <c r="J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ht="15.75" thickBot="1" x14ac:dyDescent="0.3">
      <c r="A46" s="1"/>
      <c r="B46" s="1"/>
      <c r="E46" s="1"/>
      <c r="F46" s="1"/>
      <c r="H46" s="1"/>
      <c r="I46" s="1"/>
      <c r="J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ht="15.75" thickBot="1" x14ac:dyDescent="0.3">
      <c r="A47" s="1"/>
      <c r="B47" s="1"/>
      <c r="E47" s="1"/>
      <c r="F47" s="1"/>
      <c r="H47" s="1"/>
      <c r="I47" s="1"/>
      <c r="J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ht="15.75" thickBot="1" x14ac:dyDescent="0.3">
      <c r="A48" s="1"/>
      <c r="B48" s="1"/>
      <c r="E48" s="1"/>
      <c r="F48" s="1"/>
      <c r="H48" s="1"/>
      <c r="I48" s="1"/>
      <c r="J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ht="15.75" thickBot="1" x14ac:dyDescent="0.3">
      <c r="A49" s="1"/>
      <c r="B49" s="1"/>
      <c r="E49" s="1"/>
      <c r="F49" s="1"/>
      <c r="H49" s="1"/>
      <c r="I49" s="1"/>
      <c r="J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ht="15.75" thickBot="1" x14ac:dyDescent="0.3">
      <c r="A50" s="1"/>
      <c r="B50" s="1"/>
      <c r="E50" s="1"/>
      <c r="F50" s="1"/>
      <c r="H50" s="1"/>
      <c r="I50" s="1"/>
      <c r="J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ht="15.75" thickBot="1" x14ac:dyDescent="0.3">
      <c r="A51" s="1"/>
      <c r="B51" s="1"/>
      <c r="E51" s="1"/>
      <c r="F51" s="1"/>
      <c r="H51" s="1"/>
      <c r="I51" s="1"/>
      <c r="J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ht="15.75" thickBot="1" x14ac:dyDescent="0.3">
      <c r="A52" s="1"/>
      <c r="B52" s="1"/>
      <c r="E52" s="1"/>
      <c r="F52" s="1"/>
      <c r="H52" s="1"/>
      <c r="I52" s="1"/>
      <c r="J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ht="15.75" thickBot="1" x14ac:dyDescent="0.3">
      <c r="A53" s="1"/>
      <c r="B53" s="1"/>
      <c r="E53" s="1"/>
      <c r="F53" s="1"/>
      <c r="H53" s="1"/>
      <c r="I53" s="1"/>
      <c r="J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ht="15.75" thickBot="1" x14ac:dyDescent="0.3">
      <c r="A54" s="1"/>
      <c r="B54" s="1"/>
      <c r="E54" s="1"/>
      <c r="F54" s="1"/>
      <c r="H54" s="1"/>
      <c r="I54" s="1"/>
      <c r="J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ht="15.75" thickBot="1" x14ac:dyDescent="0.3">
      <c r="A55" s="1"/>
      <c r="B55" s="1"/>
      <c r="E55" s="1"/>
      <c r="F55" s="1"/>
      <c r="H55" s="1"/>
      <c r="I55" s="1"/>
      <c r="J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ht="15.75" thickBot="1" x14ac:dyDescent="0.3">
      <c r="A56" s="1"/>
      <c r="B56" s="1"/>
      <c r="E56" s="1"/>
      <c r="F56" s="1"/>
      <c r="H56" s="1"/>
      <c r="I56" s="1"/>
      <c r="J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ht="15.75" thickBot="1" x14ac:dyDescent="0.3">
      <c r="A57" s="1"/>
      <c r="B57" s="1"/>
      <c r="E57" s="1"/>
      <c r="F57" s="1"/>
      <c r="H57" s="1"/>
      <c r="I57" s="1"/>
      <c r="J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ht="15.75" thickBot="1" x14ac:dyDescent="0.3">
      <c r="A58" s="1"/>
      <c r="B58" s="1"/>
      <c r="E58" s="1"/>
      <c r="F58" s="1"/>
      <c r="H58" s="1"/>
      <c r="I58" s="1"/>
      <c r="J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ht="15.75" thickBot="1" x14ac:dyDescent="0.3">
      <c r="A59" s="1"/>
      <c r="B59" s="1"/>
      <c r="E59" s="1"/>
      <c r="F59" s="1"/>
      <c r="H59" s="1"/>
      <c r="I59" s="1"/>
      <c r="J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ht="15.75" thickBot="1" x14ac:dyDescent="0.3">
      <c r="A60" s="1"/>
      <c r="B60" s="1"/>
      <c r="E60" s="1"/>
      <c r="F60" s="1"/>
      <c r="H60" s="1"/>
      <c r="I60" s="1"/>
      <c r="J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ht="15.75" thickBot="1" x14ac:dyDescent="0.3">
      <c r="A61" s="1"/>
      <c r="B61" s="1"/>
      <c r="E61" s="1"/>
      <c r="F61" s="1"/>
      <c r="H61" s="1"/>
      <c r="I61" s="1"/>
      <c r="J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ht="15.75" thickBot="1" x14ac:dyDescent="0.3">
      <c r="A62" s="1"/>
      <c r="B62" s="1"/>
      <c r="E62" s="1"/>
      <c r="F62" s="1"/>
      <c r="H62" s="1"/>
      <c r="I62" s="1"/>
      <c r="J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ht="15.75" thickBot="1" x14ac:dyDescent="0.3">
      <c r="A63" s="1"/>
      <c r="B63" s="1"/>
      <c r="E63" s="1"/>
      <c r="F63" s="1"/>
      <c r="H63" s="1"/>
      <c r="I63" s="1"/>
      <c r="J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ht="15.75" thickBot="1" x14ac:dyDescent="0.3">
      <c r="A64" s="1"/>
      <c r="B64" s="1"/>
      <c r="E64" s="1"/>
      <c r="F64" s="1"/>
      <c r="H64" s="1"/>
      <c r="I64" s="1"/>
      <c r="J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ht="15.75" thickBot="1" x14ac:dyDescent="0.3">
      <c r="A65" s="1"/>
      <c r="B65" s="1"/>
      <c r="E65" s="1"/>
      <c r="F65" s="1"/>
      <c r="H65" s="1"/>
      <c r="I65" s="1"/>
      <c r="J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ht="15.75" thickBot="1" x14ac:dyDescent="0.3">
      <c r="A66" s="1"/>
      <c r="B66" s="1"/>
      <c r="E66" s="1"/>
      <c r="F66" s="1"/>
      <c r="H66" s="1"/>
      <c r="I66" s="1"/>
      <c r="J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ht="15.75" thickBot="1" x14ac:dyDescent="0.3">
      <c r="A67" s="1"/>
      <c r="B67" s="1"/>
      <c r="E67" s="1"/>
      <c r="F67" s="1"/>
      <c r="H67" s="1"/>
      <c r="I67" s="1"/>
      <c r="J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ht="15.75" thickBot="1" x14ac:dyDescent="0.3">
      <c r="A68" s="1"/>
      <c r="B68" s="1"/>
      <c r="E68" s="1"/>
      <c r="F68" s="1"/>
      <c r="H68" s="1"/>
      <c r="I68" s="1"/>
      <c r="J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ht="15.75" thickBot="1" x14ac:dyDescent="0.3">
      <c r="A69" s="1"/>
      <c r="B69" s="1"/>
      <c r="E69" s="1"/>
      <c r="F69" s="1"/>
      <c r="H69" s="1"/>
      <c r="I69" s="1"/>
      <c r="J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ht="15.75" thickBot="1" x14ac:dyDescent="0.3">
      <c r="A70" s="1"/>
      <c r="B70" s="1"/>
      <c r="E70" s="1"/>
      <c r="F70" s="1"/>
      <c r="H70" s="1"/>
      <c r="I70" s="1"/>
      <c r="J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ht="15.75" thickBot="1" x14ac:dyDescent="0.3">
      <c r="A71" s="1"/>
      <c r="B71" s="1"/>
      <c r="E71" s="1"/>
      <c r="F71" s="1"/>
      <c r="H71" s="1"/>
      <c r="I71" s="1"/>
      <c r="J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ht="15.75" thickBot="1" x14ac:dyDescent="0.3">
      <c r="A72" s="1"/>
      <c r="B72" s="1"/>
      <c r="E72" s="1"/>
      <c r="F72" s="1"/>
      <c r="H72" s="1"/>
      <c r="I72" s="1"/>
      <c r="J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ht="15.75" thickBot="1" x14ac:dyDescent="0.3">
      <c r="A73" s="1"/>
      <c r="B73" s="1"/>
      <c r="E73" s="1"/>
      <c r="F73" s="1"/>
      <c r="H73" s="1"/>
      <c r="I73" s="1"/>
      <c r="J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ht="15.75" thickBot="1" x14ac:dyDescent="0.3">
      <c r="A74" s="1"/>
      <c r="B74" s="1"/>
      <c r="E74" s="1"/>
      <c r="F74" s="1"/>
      <c r="H74" s="1"/>
      <c r="I74" s="1"/>
      <c r="J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ht="15.75" thickBot="1" x14ac:dyDescent="0.3">
      <c r="A75" s="1"/>
      <c r="B75" s="1"/>
      <c r="E75" s="1"/>
      <c r="F75" s="1"/>
      <c r="H75" s="1"/>
      <c r="I75" s="1"/>
      <c r="J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15.75" thickBot="1" x14ac:dyDescent="0.3">
      <c r="A76" s="1"/>
      <c r="B76" s="1"/>
      <c r="E76" s="1"/>
      <c r="F76" s="1"/>
      <c r="H76" s="1"/>
      <c r="I76" s="1"/>
      <c r="J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26.25" thickBot="1" x14ac:dyDescent="0.3">
      <c r="A77" s="1"/>
      <c r="B77" s="1"/>
      <c r="E77" s="1" t="s">
        <v>8</v>
      </c>
      <c r="F77" s="1"/>
      <c r="H77" s="1" t="s">
        <v>9</v>
      </c>
      <c r="I77" s="1"/>
      <c r="J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5.75" thickBot="1" x14ac:dyDescent="0.3">
      <c r="A78" s="1"/>
      <c r="B78" s="1"/>
      <c r="E78" s="1">
        <v>1542</v>
      </c>
      <c r="F78" s="1">
        <v>1542</v>
      </c>
      <c r="H78" s="1">
        <v>111</v>
      </c>
      <c r="I78" s="1">
        <v>11</v>
      </c>
      <c r="J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5.75" thickBot="1" x14ac:dyDescent="0.3">
      <c r="A79" s="1"/>
      <c r="B79" s="1"/>
      <c r="E79" s="1">
        <v>1096</v>
      </c>
      <c r="F79" s="1">
        <v>1096</v>
      </c>
      <c r="H79" s="1">
        <v>136</v>
      </c>
      <c r="I79" s="1">
        <v>136</v>
      </c>
      <c r="J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5.75" thickBot="1" x14ac:dyDescent="0.3">
      <c r="A80" s="1"/>
      <c r="B80" s="1"/>
      <c r="E80" s="1">
        <v>351</v>
      </c>
      <c r="F80" s="1">
        <v>351</v>
      </c>
      <c r="H80" s="1">
        <v>136</v>
      </c>
      <c r="I80" s="1">
        <v>136</v>
      </c>
      <c r="J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5.75" thickBot="1" x14ac:dyDescent="0.3">
      <c r="A81" s="1"/>
      <c r="B81" s="1"/>
      <c r="E81" s="1">
        <v>1835</v>
      </c>
      <c r="F81" s="1">
        <v>1835</v>
      </c>
      <c r="H81" s="1">
        <v>194</v>
      </c>
      <c r="I81" s="1">
        <v>194</v>
      </c>
      <c r="J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5.75" thickBot="1" x14ac:dyDescent="0.3">
      <c r="A82" s="1"/>
      <c r="B82" s="1"/>
      <c r="E82" s="1">
        <v>750</v>
      </c>
      <c r="F82" s="1">
        <v>750</v>
      </c>
      <c r="H82" s="1">
        <v>199</v>
      </c>
      <c r="I82" s="1">
        <v>199</v>
      </c>
      <c r="J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5.75" thickBot="1" x14ac:dyDescent="0.3">
      <c r="A83" s="1"/>
      <c r="B83" s="1"/>
      <c r="E83" s="1">
        <v>1923</v>
      </c>
      <c r="F83" s="1">
        <v>1923</v>
      </c>
      <c r="H83" s="1">
        <v>214</v>
      </c>
      <c r="I83" s="1">
        <v>214</v>
      </c>
      <c r="J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5.75" thickBot="1" x14ac:dyDescent="0.3">
      <c r="A84" s="1"/>
      <c r="B84" s="1"/>
      <c r="E84" s="1">
        <v>1440</v>
      </c>
      <c r="F84" s="1">
        <v>1440</v>
      </c>
      <c r="H84" s="1">
        <v>160</v>
      </c>
      <c r="I84" s="1">
        <v>160</v>
      </c>
      <c r="J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5.75" thickBot="1" x14ac:dyDescent="0.3">
      <c r="A85" s="1"/>
      <c r="B85" s="1"/>
      <c r="E85" s="1">
        <v>1033</v>
      </c>
      <c r="F85" s="1">
        <v>1033</v>
      </c>
      <c r="H85" s="1">
        <v>183</v>
      </c>
      <c r="I85" s="1">
        <v>183</v>
      </c>
      <c r="J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5.75" thickBot="1" x14ac:dyDescent="0.3">
      <c r="A86" s="1"/>
      <c r="B86" s="1"/>
      <c r="E86" s="1">
        <v>1166</v>
      </c>
      <c r="F86" s="1">
        <v>1166</v>
      </c>
      <c r="H86" s="1">
        <v>192</v>
      </c>
      <c r="I86" s="1">
        <v>192</v>
      </c>
      <c r="J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5.75" thickBot="1" x14ac:dyDescent="0.3">
      <c r="A87" s="1"/>
      <c r="B87" s="1"/>
      <c r="E87" s="1">
        <v>1263</v>
      </c>
      <c r="F87" s="1">
        <v>1263</v>
      </c>
      <c r="H87" s="1">
        <v>282</v>
      </c>
      <c r="I87" s="1">
        <v>287</v>
      </c>
      <c r="J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5.75" thickBot="1" x14ac:dyDescent="0.3">
      <c r="A88" s="1"/>
      <c r="B88" s="1"/>
      <c r="E88" s="1">
        <v>1792</v>
      </c>
      <c r="F88" s="1">
        <v>1792</v>
      </c>
      <c r="H88" s="1">
        <v>306</v>
      </c>
      <c r="I88" s="1">
        <v>306</v>
      </c>
      <c r="J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5.75" thickBot="1" x14ac:dyDescent="0.3">
      <c r="A89" s="1"/>
      <c r="B89" s="1"/>
      <c r="E89" s="1">
        <v>1797</v>
      </c>
      <c r="F89" s="1">
        <v>1797</v>
      </c>
      <c r="H89" s="1">
        <v>293</v>
      </c>
      <c r="I89" s="1">
        <v>293</v>
      </c>
      <c r="J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5.75" thickBot="1" x14ac:dyDescent="0.3">
      <c r="A90" s="1"/>
      <c r="B90" s="1"/>
      <c r="E90" s="1">
        <v>1821</v>
      </c>
      <c r="F90" s="1">
        <v>1821</v>
      </c>
      <c r="H90" s="1">
        <v>273</v>
      </c>
      <c r="I90" s="1">
        <v>273</v>
      </c>
      <c r="J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5.75" thickBot="1" x14ac:dyDescent="0.3">
      <c r="A91" s="1"/>
      <c r="B91" s="1"/>
      <c r="E91" s="1">
        <v>2520</v>
      </c>
      <c r="F91" s="1">
        <v>2520</v>
      </c>
      <c r="H91" s="1">
        <v>281</v>
      </c>
      <c r="I91" s="1">
        <v>281</v>
      </c>
      <c r="J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5.75" thickBot="1" x14ac:dyDescent="0.3">
      <c r="A92" s="1"/>
      <c r="B92" s="1"/>
      <c r="E92" s="1">
        <v>2510</v>
      </c>
      <c r="F92" s="1">
        <v>2510</v>
      </c>
      <c r="H92" s="1">
        <v>283</v>
      </c>
      <c r="I92" s="1">
        <v>283</v>
      </c>
      <c r="J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ht="15.75" thickBot="1" x14ac:dyDescent="0.3">
      <c r="A93" s="1"/>
      <c r="B93" s="1"/>
      <c r="E93" s="1">
        <v>1650</v>
      </c>
      <c r="F93" s="1">
        <v>1650</v>
      </c>
      <c r="H93" s="1" t="s">
        <v>30</v>
      </c>
      <c r="I93" s="1">
        <v>366</v>
      </c>
      <c r="J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ht="15.75" thickBot="1" x14ac:dyDescent="0.3">
      <c r="A94" s="1"/>
      <c r="B94" s="1"/>
      <c r="E94" s="1">
        <v>2331</v>
      </c>
      <c r="F94" s="1">
        <v>2331</v>
      </c>
      <c r="H94" s="1" t="s">
        <v>32</v>
      </c>
      <c r="I94" s="1" t="s">
        <v>33</v>
      </c>
      <c r="J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ht="15.75" thickBot="1" x14ac:dyDescent="0.3">
      <c r="A95" s="1"/>
      <c r="B95" s="1"/>
      <c r="E95" s="1">
        <v>891</v>
      </c>
      <c r="F95" s="1">
        <v>891</v>
      </c>
      <c r="H95" s="1">
        <v>357</v>
      </c>
      <c r="I95" s="1" t="s">
        <v>28</v>
      </c>
      <c r="J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ht="15.75" thickBot="1" x14ac:dyDescent="0.3">
      <c r="A96" s="1"/>
      <c r="B96" s="1"/>
      <c r="E96" s="1">
        <v>1588</v>
      </c>
      <c r="F96" s="1">
        <v>1588</v>
      </c>
      <c r="H96" s="1">
        <v>431</v>
      </c>
      <c r="I96" s="1">
        <v>436</v>
      </c>
      <c r="J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5.75" thickBot="1" x14ac:dyDescent="0.3">
      <c r="A97" s="1"/>
      <c r="B97" s="1"/>
      <c r="E97" s="1">
        <v>3102</v>
      </c>
      <c r="F97" s="1">
        <v>3102</v>
      </c>
      <c r="H97" s="1" t="s">
        <v>38</v>
      </c>
      <c r="I97" s="1" t="s">
        <v>39</v>
      </c>
      <c r="J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5.75" thickBot="1" x14ac:dyDescent="0.3">
      <c r="A98" s="1"/>
      <c r="B98" s="1"/>
      <c r="E98" s="1">
        <v>2098</v>
      </c>
      <c r="F98" s="1">
        <v>2098</v>
      </c>
      <c r="H98" s="1">
        <v>392</v>
      </c>
      <c r="I98" s="1" t="s">
        <v>36</v>
      </c>
      <c r="J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5.75" thickBot="1" x14ac:dyDescent="0.3">
      <c r="A99" s="1"/>
      <c r="B99" s="1"/>
      <c r="E99" s="1">
        <v>1876</v>
      </c>
      <c r="F99" s="1">
        <v>1876</v>
      </c>
      <c r="H99" s="1">
        <v>400</v>
      </c>
      <c r="I99" s="1" t="s">
        <v>42</v>
      </c>
      <c r="J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ht="15.75" thickBot="1" x14ac:dyDescent="0.3">
      <c r="A100" s="1"/>
      <c r="B100" s="1"/>
      <c r="E100" s="1">
        <v>2042</v>
      </c>
      <c r="F100" s="1">
        <v>2042</v>
      </c>
      <c r="H100" s="1" t="s">
        <v>53</v>
      </c>
      <c r="I100" s="1">
        <v>407</v>
      </c>
      <c r="J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Taieb</dc:creator>
  <cp:lastModifiedBy>Taieb</cp:lastModifiedBy>
  <dcterms:created xsi:type="dcterms:W3CDTF">2025-12-11T16:20:26Z</dcterms:created>
  <dcterms:modified xsi:type="dcterms:W3CDTF">2025-12-18T15:56:59Z</dcterms:modified>
</cp:coreProperties>
</file>